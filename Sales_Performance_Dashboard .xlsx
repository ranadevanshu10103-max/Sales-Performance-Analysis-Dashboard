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F:\EXCEL\Excel Project\"/>
    </mc:Choice>
  </mc:AlternateContent>
  <bookViews>
    <workbookView xWindow="0" yWindow="0" windowWidth="20490" windowHeight="7650" activeTab="3"/>
  </bookViews>
  <sheets>
    <sheet name="Raw_data " sheetId="1" r:id="rId1"/>
    <sheet name="clean_data " sheetId="2" r:id="rId2"/>
    <sheet name="Analysis" sheetId="3" r:id="rId3"/>
    <sheet name="Dashboard" sheetId="4" r:id="rId4"/>
  </sheets>
  <externalReferences>
    <externalReference r:id="rId5"/>
  </externalReferences>
  <definedNames>
    <definedName name="Slicer_Category">#N/A</definedName>
    <definedName name="Slicer_City">#N/A</definedName>
    <definedName name="Slicer_month_name">#N/A</definedName>
    <definedName name="Slicer_Payment_Mode">#N/A</definedName>
  </definedNames>
  <calcPr calcId="162913"/>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Lst>
</workbook>
</file>

<file path=xl/calcChain.xml><?xml version="1.0" encoding="utf-8"?>
<calcChain xmlns="http://schemas.openxmlformats.org/spreadsheetml/2006/main">
  <c r="Q6" i="4" l="1"/>
  <c r="I6" i="4"/>
  <c r="I3" i="3"/>
  <c r="U6" i="4" s="1"/>
  <c r="B23" i="2"/>
  <c r="E21" i="2"/>
  <c r="E20" i="2"/>
  <c r="E19" i="2"/>
  <c r="E18" i="2"/>
  <c r="B18" i="2"/>
  <c r="E17" i="2"/>
  <c r="E16" i="2"/>
  <c r="E15" i="2"/>
  <c r="E14" i="2"/>
  <c r="E13" i="2"/>
  <c r="E12" i="2"/>
  <c r="E11" i="2"/>
  <c r="E10" i="2"/>
  <c r="E4" i="2"/>
  <c r="E3" i="2"/>
  <c r="E2" i="2"/>
  <c r="E1" i="2"/>
  <c r="U101" i="1"/>
  <c r="T101" i="1"/>
  <c r="S101" i="1"/>
  <c r="R101" i="1"/>
  <c r="Q101" i="1"/>
  <c r="P101" i="1"/>
  <c r="O101" i="1"/>
  <c r="N101" i="1"/>
  <c r="M101" i="1"/>
  <c r="L101" i="1"/>
  <c r="U100" i="1"/>
  <c r="T100" i="1"/>
  <c r="S100" i="1"/>
  <c r="R100" i="1"/>
  <c r="Q100" i="1"/>
  <c r="P100" i="1"/>
  <c r="O100" i="1"/>
  <c r="N100" i="1"/>
  <c r="M100" i="1"/>
  <c r="L100" i="1"/>
  <c r="U99" i="1"/>
  <c r="T99" i="1"/>
  <c r="S99" i="1"/>
  <c r="R99" i="1"/>
  <c r="Q99" i="1"/>
  <c r="P99" i="1"/>
  <c r="O99" i="1"/>
  <c r="N99" i="1"/>
  <c r="M99" i="1"/>
  <c r="L99" i="1"/>
  <c r="U98" i="1"/>
  <c r="T98" i="1"/>
  <c r="S98" i="1"/>
  <c r="R98" i="1"/>
  <c r="Q98" i="1"/>
  <c r="P98" i="1"/>
  <c r="O98" i="1"/>
  <c r="N98" i="1"/>
  <c r="M98" i="1"/>
  <c r="L98" i="1"/>
  <c r="U97" i="1"/>
  <c r="T97" i="1"/>
  <c r="S97" i="1"/>
  <c r="R97" i="1"/>
  <c r="Q97" i="1"/>
  <c r="P97" i="1"/>
  <c r="O97" i="1"/>
  <c r="N97" i="1"/>
  <c r="M97" i="1"/>
  <c r="L97" i="1"/>
  <c r="U96" i="1"/>
  <c r="T96" i="1"/>
  <c r="S96" i="1"/>
  <c r="R96" i="1"/>
  <c r="Q96" i="1"/>
  <c r="P96" i="1"/>
  <c r="O96" i="1"/>
  <c r="N96" i="1"/>
  <c r="M96" i="1"/>
  <c r="L96" i="1"/>
  <c r="U95" i="1"/>
  <c r="T95" i="1"/>
  <c r="S95" i="1"/>
  <c r="R95" i="1"/>
  <c r="Q95" i="1"/>
  <c r="P95" i="1"/>
  <c r="O95" i="1"/>
  <c r="N95" i="1"/>
  <c r="M95" i="1"/>
  <c r="L95" i="1"/>
  <c r="U94" i="1"/>
  <c r="T94" i="1"/>
  <c r="S94" i="1"/>
  <c r="R94" i="1"/>
  <c r="Q94" i="1"/>
  <c r="P94" i="1"/>
  <c r="O94" i="1"/>
  <c r="N94" i="1"/>
  <c r="M94" i="1"/>
  <c r="L94" i="1"/>
  <c r="U93" i="1"/>
  <c r="T93" i="1"/>
  <c r="S93" i="1"/>
  <c r="R93" i="1"/>
  <c r="Q93" i="1"/>
  <c r="P93" i="1"/>
  <c r="O93" i="1"/>
  <c r="N93" i="1"/>
  <c r="M93" i="1"/>
  <c r="L93" i="1"/>
  <c r="U92" i="1"/>
  <c r="T92" i="1"/>
  <c r="S92" i="1"/>
  <c r="R92" i="1"/>
  <c r="Q92" i="1"/>
  <c r="P92" i="1"/>
  <c r="O92" i="1"/>
  <c r="N92" i="1"/>
  <c r="M92" i="1"/>
  <c r="L92" i="1"/>
  <c r="U91" i="1"/>
  <c r="T91" i="1"/>
  <c r="S91" i="1"/>
  <c r="R91" i="1"/>
  <c r="Q91" i="1"/>
  <c r="P91" i="1"/>
  <c r="O91" i="1"/>
  <c r="N91" i="1"/>
  <c r="M91" i="1"/>
  <c r="L91" i="1"/>
  <c r="U90" i="1"/>
  <c r="T90" i="1"/>
  <c r="S90" i="1"/>
  <c r="R90" i="1"/>
  <c r="Q90" i="1"/>
  <c r="P90" i="1"/>
  <c r="O90" i="1"/>
  <c r="N90" i="1"/>
  <c r="M90" i="1"/>
  <c r="L90" i="1"/>
  <c r="U89" i="1"/>
  <c r="T89" i="1"/>
  <c r="S89" i="1"/>
  <c r="R89" i="1"/>
  <c r="Q89" i="1"/>
  <c r="P89" i="1"/>
  <c r="O89" i="1"/>
  <c r="N89" i="1"/>
  <c r="M89" i="1"/>
  <c r="L89" i="1"/>
  <c r="U88" i="1"/>
  <c r="T88" i="1"/>
  <c r="S88" i="1"/>
  <c r="R88" i="1"/>
  <c r="Q88" i="1"/>
  <c r="P88" i="1"/>
  <c r="O88" i="1"/>
  <c r="N88" i="1"/>
  <c r="M88" i="1"/>
  <c r="L88" i="1"/>
  <c r="U87" i="1"/>
  <c r="T87" i="1"/>
  <c r="S87" i="1"/>
  <c r="R87" i="1"/>
  <c r="Q87" i="1"/>
  <c r="P87" i="1"/>
  <c r="O87" i="1"/>
  <c r="N87" i="1"/>
  <c r="M87" i="1"/>
  <c r="L87" i="1"/>
  <c r="U86" i="1"/>
  <c r="T86" i="1"/>
  <c r="S86" i="1"/>
  <c r="R86" i="1"/>
  <c r="Q86" i="1"/>
  <c r="P86" i="1"/>
  <c r="O86" i="1"/>
  <c r="N86" i="1"/>
  <c r="M86" i="1"/>
  <c r="L86" i="1"/>
  <c r="U85" i="1"/>
  <c r="T85" i="1"/>
  <c r="S85" i="1"/>
  <c r="R85" i="1"/>
  <c r="Q85" i="1"/>
  <c r="P85" i="1"/>
  <c r="O85" i="1"/>
  <c r="N85" i="1"/>
  <c r="M85" i="1"/>
  <c r="L85" i="1"/>
  <c r="U84" i="1"/>
  <c r="T84" i="1"/>
  <c r="S84" i="1"/>
  <c r="R84" i="1"/>
  <c r="Q84" i="1"/>
  <c r="P84" i="1"/>
  <c r="O84" i="1"/>
  <c r="N84" i="1"/>
  <c r="M84" i="1"/>
  <c r="L84" i="1"/>
  <c r="U83" i="1"/>
  <c r="T83" i="1"/>
  <c r="S83" i="1"/>
  <c r="R83" i="1"/>
  <c r="Q83" i="1"/>
  <c r="P83" i="1"/>
  <c r="O83" i="1"/>
  <c r="N83" i="1"/>
  <c r="M83" i="1"/>
  <c r="L83" i="1"/>
  <c r="U82" i="1"/>
  <c r="T82" i="1"/>
  <c r="S82" i="1"/>
  <c r="R82" i="1"/>
  <c r="Q82" i="1"/>
  <c r="P82" i="1"/>
  <c r="O82" i="1"/>
  <c r="N82" i="1"/>
  <c r="M82" i="1"/>
  <c r="L82" i="1"/>
  <c r="U81" i="1"/>
  <c r="T81" i="1"/>
  <c r="S81" i="1"/>
  <c r="R81" i="1"/>
  <c r="Q81" i="1"/>
  <c r="P81" i="1"/>
  <c r="O81" i="1"/>
  <c r="N81" i="1"/>
  <c r="M81" i="1"/>
  <c r="L81" i="1"/>
  <c r="U80" i="1"/>
  <c r="T80" i="1"/>
  <c r="S80" i="1"/>
  <c r="R80" i="1"/>
  <c r="Q80" i="1"/>
  <c r="P80" i="1"/>
  <c r="O80" i="1"/>
  <c r="N80" i="1"/>
  <c r="M80" i="1"/>
  <c r="L80" i="1"/>
  <c r="U79" i="1"/>
  <c r="T79" i="1"/>
  <c r="S79" i="1"/>
  <c r="R79" i="1"/>
  <c r="Q79" i="1"/>
  <c r="P79" i="1"/>
  <c r="O79" i="1"/>
  <c r="N79" i="1"/>
  <c r="M79" i="1"/>
  <c r="L79" i="1"/>
  <c r="U78" i="1"/>
  <c r="T78" i="1"/>
  <c r="S78" i="1"/>
  <c r="R78" i="1"/>
  <c r="Q78" i="1"/>
  <c r="P78" i="1"/>
  <c r="O78" i="1"/>
  <c r="N78" i="1"/>
  <c r="M78" i="1"/>
  <c r="L78" i="1"/>
  <c r="U77" i="1"/>
  <c r="T77" i="1"/>
  <c r="S77" i="1"/>
  <c r="R77" i="1"/>
  <c r="Q77" i="1"/>
  <c r="P77" i="1"/>
  <c r="O77" i="1"/>
  <c r="N77" i="1"/>
  <c r="M77" i="1"/>
  <c r="L77" i="1"/>
  <c r="U76" i="1"/>
  <c r="T76" i="1"/>
  <c r="S76" i="1"/>
  <c r="R76" i="1"/>
  <c r="Q76" i="1"/>
  <c r="P76" i="1"/>
  <c r="O76" i="1"/>
  <c r="N76" i="1"/>
  <c r="M76" i="1"/>
  <c r="L76" i="1"/>
  <c r="U75" i="1"/>
  <c r="T75" i="1"/>
  <c r="S75" i="1"/>
  <c r="R75" i="1"/>
  <c r="Q75" i="1"/>
  <c r="P75" i="1"/>
  <c r="O75" i="1"/>
  <c r="N75" i="1"/>
  <c r="M75" i="1"/>
  <c r="L75" i="1"/>
  <c r="U74" i="1"/>
  <c r="T74" i="1"/>
  <c r="S74" i="1"/>
  <c r="R74" i="1"/>
  <c r="Q74" i="1"/>
  <c r="P74" i="1"/>
  <c r="O74" i="1"/>
  <c r="N74" i="1"/>
  <c r="M74" i="1"/>
  <c r="L74" i="1"/>
  <c r="U73" i="1"/>
  <c r="T73" i="1"/>
  <c r="S73" i="1"/>
  <c r="R73" i="1"/>
  <c r="Q73" i="1"/>
  <c r="P73" i="1"/>
  <c r="O73" i="1"/>
  <c r="N73" i="1"/>
  <c r="M73" i="1"/>
  <c r="L73" i="1"/>
  <c r="U72" i="1"/>
  <c r="T72" i="1"/>
  <c r="S72" i="1"/>
  <c r="R72" i="1"/>
  <c r="Q72" i="1"/>
  <c r="P72" i="1"/>
  <c r="O72" i="1"/>
  <c r="N72" i="1"/>
  <c r="M72" i="1"/>
  <c r="L72" i="1"/>
  <c r="U71" i="1"/>
  <c r="T71" i="1"/>
  <c r="S71" i="1"/>
  <c r="R71" i="1"/>
  <c r="Q71" i="1"/>
  <c r="P71" i="1"/>
  <c r="O71" i="1"/>
  <c r="N71" i="1"/>
  <c r="M71" i="1"/>
  <c r="L71" i="1"/>
  <c r="U70" i="1"/>
  <c r="T70" i="1"/>
  <c r="S70" i="1"/>
  <c r="R70" i="1"/>
  <c r="Q70" i="1"/>
  <c r="P70" i="1"/>
  <c r="O70" i="1"/>
  <c r="N70" i="1"/>
  <c r="M70" i="1"/>
  <c r="L70" i="1"/>
  <c r="U69" i="1"/>
  <c r="T69" i="1"/>
  <c r="S69" i="1"/>
  <c r="R69" i="1"/>
  <c r="Q69" i="1"/>
  <c r="P69" i="1"/>
  <c r="O69" i="1"/>
  <c r="N69" i="1"/>
  <c r="M69" i="1"/>
  <c r="L69" i="1"/>
  <c r="U68" i="1"/>
  <c r="T68" i="1"/>
  <c r="S68" i="1"/>
  <c r="R68" i="1"/>
  <c r="Q68" i="1"/>
  <c r="P68" i="1"/>
  <c r="O68" i="1"/>
  <c r="N68" i="1"/>
  <c r="M68" i="1"/>
  <c r="L68" i="1"/>
  <c r="U67" i="1"/>
  <c r="T67" i="1"/>
  <c r="S67" i="1"/>
  <c r="R67" i="1"/>
  <c r="Q67" i="1"/>
  <c r="P67" i="1"/>
  <c r="O67" i="1"/>
  <c r="N67" i="1"/>
  <c r="M67" i="1"/>
  <c r="L67" i="1"/>
  <c r="U66" i="1"/>
  <c r="T66" i="1"/>
  <c r="S66" i="1"/>
  <c r="R66" i="1"/>
  <c r="Q66" i="1"/>
  <c r="P66" i="1"/>
  <c r="O66" i="1"/>
  <c r="N66" i="1"/>
  <c r="M66" i="1"/>
  <c r="L66" i="1"/>
  <c r="U65" i="1"/>
  <c r="T65" i="1"/>
  <c r="S65" i="1"/>
  <c r="R65" i="1"/>
  <c r="Q65" i="1"/>
  <c r="P65" i="1"/>
  <c r="O65" i="1"/>
  <c r="N65" i="1"/>
  <c r="M65" i="1"/>
  <c r="L65" i="1"/>
  <c r="U64" i="1"/>
  <c r="T64" i="1"/>
  <c r="S64" i="1"/>
  <c r="R64" i="1"/>
  <c r="Q64" i="1"/>
  <c r="P64" i="1"/>
  <c r="O64" i="1"/>
  <c r="N64" i="1"/>
  <c r="M64" i="1"/>
  <c r="L64" i="1"/>
  <c r="U63" i="1"/>
  <c r="T63" i="1"/>
  <c r="S63" i="1"/>
  <c r="R63" i="1"/>
  <c r="Q63" i="1"/>
  <c r="P63" i="1"/>
  <c r="O63" i="1"/>
  <c r="N63" i="1"/>
  <c r="M63" i="1"/>
  <c r="L63" i="1"/>
  <c r="U62" i="1"/>
  <c r="T62" i="1"/>
  <c r="S62" i="1"/>
  <c r="R62" i="1"/>
  <c r="Q62" i="1"/>
  <c r="P62" i="1"/>
  <c r="O62" i="1"/>
  <c r="N62" i="1"/>
  <c r="M62" i="1"/>
  <c r="L62" i="1"/>
  <c r="U61" i="1"/>
  <c r="T61" i="1"/>
  <c r="S61" i="1"/>
  <c r="R61" i="1"/>
  <c r="Q61" i="1"/>
  <c r="P61" i="1"/>
  <c r="O61" i="1"/>
  <c r="N61" i="1"/>
  <c r="M61" i="1"/>
  <c r="L61" i="1"/>
  <c r="U60" i="1"/>
  <c r="T60" i="1"/>
  <c r="S60" i="1"/>
  <c r="R60" i="1"/>
  <c r="Q60" i="1"/>
  <c r="P60" i="1"/>
  <c r="O60" i="1"/>
  <c r="N60" i="1"/>
  <c r="M60" i="1"/>
  <c r="L60" i="1"/>
  <c r="U59" i="1"/>
  <c r="T59" i="1"/>
  <c r="S59" i="1"/>
  <c r="R59" i="1"/>
  <c r="Q59" i="1"/>
  <c r="P59" i="1"/>
  <c r="O59" i="1"/>
  <c r="N59" i="1"/>
  <c r="M59" i="1"/>
  <c r="L59" i="1"/>
  <c r="U58" i="1"/>
  <c r="T58" i="1"/>
  <c r="S58" i="1"/>
  <c r="R58" i="1"/>
  <c r="Q58" i="1"/>
  <c r="P58" i="1"/>
  <c r="O58" i="1"/>
  <c r="N58" i="1"/>
  <c r="M58" i="1"/>
  <c r="L58" i="1"/>
  <c r="U57" i="1"/>
  <c r="T57" i="1"/>
  <c r="S57" i="1"/>
  <c r="R57" i="1"/>
  <c r="Q57" i="1"/>
  <c r="P57" i="1"/>
  <c r="O57" i="1"/>
  <c r="N57" i="1"/>
  <c r="M57" i="1"/>
  <c r="L57" i="1"/>
  <c r="U56" i="1"/>
  <c r="T56" i="1"/>
  <c r="S56" i="1"/>
  <c r="R56" i="1"/>
  <c r="Q56" i="1"/>
  <c r="P56" i="1"/>
  <c r="O56" i="1"/>
  <c r="N56" i="1"/>
  <c r="M56" i="1"/>
  <c r="L56" i="1"/>
  <c r="U55" i="1"/>
  <c r="T55" i="1"/>
  <c r="S55" i="1"/>
  <c r="R55" i="1"/>
  <c r="Q55" i="1"/>
  <c r="P55" i="1"/>
  <c r="O55" i="1"/>
  <c r="N55" i="1"/>
  <c r="M55" i="1"/>
  <c r="L55" i="1"/>
  <c r="U54" i="1"/>
  <c r="T54" i="1"/>
  <c r="S54" i="1"/>
  <c r="R54" i="1"/>
  <c r="Q54" i="1"/>
  <c r="P54" i="1"/>
  <c r="O54" i="1"/>
  <c r="N54" i="1"/>
  <c r="M54" i="1"/>
  <c r="L54" i="1"/>
  <c r="U53" i="1"/>
  <c r="T53" i="1"/>
  <c r="S53" i="1"/>
  <c r="R53" i="1"/>
  <c r="Q53" i="1"/>
  <c r="P53" i="1"/>
  <c r="O53" i="1"/>
  <c r="N53" i="1"/>
  <c r="M53" i="1"/>
  <c r="L53" i="1"/>
  <c r="U52" i="1"/>
  <c r="T52" i="1"/>
  <c r="S52" i="1"/>
  <c r="R52" i="1"/>
  <c r="Q52" i="1"/>
  <c r="P52" i="1"/>
  <c r="O52" i="1"/>
  <c r="N52" i="1"/>
  <c r="M52" i="1"/>
  <c r="L52" i="1"/>
  <c r="U51" i="1"/>
  <c r="T51" i="1"/>
  <c r="S51" i="1"/>
  <c r="R51" i="1"/>
  <c r="Q51" i="1"/>
  <c r="P51" i="1"/>
  <c r="O51" i="1"/>
  <c r="N51" i="1"/>
  <c r="M51" i="1"/>
  <c r="L51" i="1"/>
  <c r="U50" i="1"/>
  <c r="T50" i="1"/>
  <c r="S50" i="1"/>
  <c r="R50" i="1"/>
  <c r="Q50" i="1"/>
  <c r="P50" i="1"/>
  <c r="O50" i="1"/>
  <c r="N50" i="1"/>
  <c r="M50" i="1"/>
  <c r="L50" i="1"/>
  <c r="U49" i="1"/>
  <c r="T49" i="1"/>
  <c r="S49" i="1"/>
  <c r="R49" i="1"/>
  <c r="Q49" i="1"/>
  <c r="P49" i="1"/>
  <c r="O49" i="1"/>
  <c r="N49" i="1"/>
  <c r="M49" i="1"/>
  <c r="L49" i="1"/>
  <c r="U48" i="1"/>
  <c r="T48" i="1"/>
  <c r="S48" i="1"/>
  <c r="R48" i="1"/>
  <c r="Q48" i="1"/>
  <c r="P48" i="1"/>
  <c r="O48" i="1"/>
  <c r="N48" i="1"/>
  <c r="M48" i="1"/>
  <c r="L48" i="1"/>
  <c r="U47" i="1"/>
  <c r="T47" i="1"/>
  <c r="S47" i="1"/>
  <c r="R47" i="1"/>
  <c r="Q47" i="1"/>
  <c r="P47" i="1"/>
  <c r="O47" i="1"/>
  <c r="N47" i="1"/>
  <c r="M47" i="1"/>
  <c r="L47" i="1"/>
  <c r="U46" i="1"/>
  <c r="T46" i="1"/>
  <c r="S46" i="1"/>
  <c r="R46" i="1"/>
  <c r="Q46" i="1"/>
  <c r="P46" i="1"/>
  <c r="O46" i="1"/>
  <c r="N46" i="1"/>
  <c r="M46" i="1"/>
  <c r="L46" i="1"/>
  <c r="U45" i="1"/>
  <c r="T45" i="1"/>
  <c r="S45" i="1"/>
  <c r="R45" i="1"/>
  <c r="Q45" i="1"/>
  <c r="P45" i="1"/>
  <c r="O45" i="1"/>
  <c r="N45" i="1"/>
  <c r="M45" i="1"/>
  <c r="L45" i="1"/>
  <c r="U44" i="1"/>
  <c r="T44" i="1"/>
  <c r="S44" i="1"/>
  <c r="R44" i="1"/>
  <c r="Q44" i="1"/>
  <c r="P44" i="1"/>
  <c r="O44" i="1"/>
  <c r="N44" i="1"/>
  <c r="M44" i="1"/>
  <c r="L44" i="1"/>
  <c r="U43" i="1"/>
  <c r="T43" i="1"/>
  <c r="S43" i="1"/>
  <c r="R43" i="1"/>
  <c r="Q43" i="1"/>
  <c r="P43" i="1"/>
  <c r="O43" i="1"/>
  <c r="N43" i="1"/>
  <c r="M43" i="1"/>
  <c r="L43" i="1"/>
  <c r="U42" i="1"/>
  <c r="T42" i="1"/>
  <c r="S42" i="1"/>
  <c r="R42" i="1"/>
  <c r="Q42" i="1"/>
  <c r="P42" i="1"/>
  <c r="O42" i="1"/>
  <c r="N42" i="1"/>
  <c r="M42" i="1"/>
  <c r="L42" i="1"/>
  <c r="U41" i="1"/>
  <c r="T41" i="1"/>
  <c r="S41" i="1"/>
  <c r="R41" i="1"/>
  <c r="Q41" i="1"/>
  <c r="P41" i="1"/>
  <c r="O41" i="1"/>
  <c r="N41" i="1"/>
  <c r="M41" i="1"/>
  <c r="L41" i="1"/>
  <c r="U40" i="1"/>
  <c r="T40" i="1"/>
  <c r="S40" i="1"/>
  <c r="R40" i="1"/>
  <c r="Q40" i="1"/>
  <c r="P40" i="1"/>
  <c r="O40" i="1"/>
  <c r="N40" i="1"/>
  <c r="M40" i="1"/>
  <c r="L40" i="1"/>
  <c r="U39" i="1"/>
  <c r="T39" i="1"/>
  <c r="S39" i="1"/>
  <c r="R39" i="1"/>
  <c r="Q39" i="1"/>
  <c r="P39" i="1"/>
  <c r="O39" i="1"/>
  <c r="N39" i="1"/>
  <c r="M39" i="1"/>
  <c r="L39" i="1"/>
  <c r="U38" i="1"/>
  <c r="T38" i="1"/>
  <c r="S38" i="1"/>
  <c r="R38" i="1"/>
  <c r="Q38" i="1"/>
  <c r="P38" i="1"/>
  <c r="O38" i="1"/>
  <c r="N38" i="1"/>
  <c r="M38" i="1"/>
  <c r="L38" i="1"/>
  <c r="U37" i="1"/>
  <c r="T37" i="1"/>
  <c r="S37" i="1"/>
  <c r="R37" i="1"/>
  <c r="Q37" i="1"/>
  <c r="P37" i="1"/>
  <c r="O37" i="1"/>
  <c r="N37" i="1"/>
  <c r="M37" i="1"/>
  <c r="L37" i="1"/>
  <c r="U36" i="1"/>
  <c r="T36" i="1"/>
  <c r="S36" i="1"/>
  <c r="R36" i="1"/>
  <c r="Q36" i="1"/>
  <c r="P36" i="1"/>
  <c r="O36" i="1"/>
  <c r="N36" i="1"/>
  <c r="M36" i="1"/>
  <c r="L36" i="1"/>
  <c r="U35" i="1"/>
  <c r="T35" i="1"/>
  <c r="S35" i="1"/>
  <c r="R35" i="1"/>
  <c r="Q35" i="1"/>
  <c r="P35" i="1"/>
  <c r="O35" i="1"/>
  <c r="N35" i="1"/>
  <c r="M35" i="1"/>
  <c r="L35" i="1"/>
  <c r="U34" i="1"/>
  <c r="T34" i="1"/>
  <c r="S34" i="1"/>
  <c r="R34" i="1"/>
  <c r="Q34" i="1"/>
  <c r="P34" i="1"/>
  <c r="O34" i="1"/>
  <c r="N34" i="1"/>
  <c r="M34" i="1"/>
  <c r="L34" i="1"/>
  <c r="U33" i="1"/>
  <c r="T33" i="1"/>
  <c r="S33" i="1"/>
  <c r="R33" i="1"/>
  <c r="Q33" i="1"/>
  <c r="P33" i="1"/>
  <c r="O33" i="1"/>
  <c r="N33" i="1"/>
  <c r="M33" i="1"/>
  <c r="L33" i="1"/>
  <c r="U32" i="1"/>
  <c r="T32" i="1"/>
  <c r="S32" i="1"/>
  <c r="R32" i="1"/>
  <c r="Q32" i="1"/>
  <c r="P32" i="1"/>
  <c r="O32" i="1"/>
  <c r="N32" i="1"/>
  <c r="M32" i="1"/>
  <c r="L32" i="1"/>
  <c r="U31" i="1"/>
  <c r="T31" i="1"/>
  <c r="S31" i="1"/>
  <c r="R31" i="1"/>
  <c r="Q31" i="1"/>
  <c r="P31" i="1"/>
  <c r="O31" i="1"/>
  <c r="N31" i="1"/>
  <c r="M31" i="1"/>
  <c r="L31" i="1"/>
  <c r="U30" i="1"/>
  <c r="T30" i="1"/>
  <c r="S30" i="1"/>
  <c r="R30" i="1"/>
  <c r="Q30" i="1"/>
  <c r="P30" i="1"/>
  <c r="O30" i="1"/>
  <c r="N30" i="1"/>
  <c r="M30" i="1"/>
  <c r="L30" i="1"/>
  <c r="U29" i="1"/>
  <c r="T29" i="1"/>
  <c r="S29" i="1"/>
  <c r="R29" i="1"/>
  <c r="Q29" i="1"/>
  <c r="P29" i="1"/>
  <c r="O29" i="1"/>
  <c r="N29" i="1"/>
  <c r="M29" i="1"/>
  <c r="L29" i="1"/>
  <c r="U28" i="1"/>
  <c r="T28" i="1"/>
  <c r="S28" i="1"/>
  <c r="R28" i="1"/>
  <c r="Q28" i="1"/>
  <c r="P28" i="1"/>
  <c r="O28" i="1"/>
  <c r="N28" i="1"/>
  <c r="M28" i="1"/>
  <c r="L28" i="1"/>
  <c r="U27" i="1"/>
  <c r="T27" i="1"/>
  <c r="S27" i="1"/>
  <c r="R27" i="1"/>
  <c r="Q27" i="1"/>
  <c r="P27" i="1"/>
  <c r="O27" i="1"/>
  <c r="N27" i="1"/>
  <c r="M27" i="1"/>
  <c r="L27" i="1"/>
  <c r="U26" i="1"/>
  <c r="T26" i="1"/>
  <c r="S26" i="1"/>
  <c r="R26" i="1"/>
  <c r="Q26" i="1"/>
  <c r="P26" i="1"/>
  <c r="O26" i="1"/>
  <c r="N26" i="1"/>
  <c r="M26" i="1"/>
  <c r="L26" i="1"/>
  <c r="U25" i="1"/>
  <c r="T25" i="1"/>
  <c r="S25" i="1"/>
  <c r="R25" i="1"/>
  <c r="Q25" i="1"/>
  <c r="P25" i="1"/>
  <c r="O25" i="1"/>
  <c r="N25" i="1"/>
  <c r="M25" i="1"/>
  <c r="L25" i="1"/>
  <c r="U24" i="1"/>
  <c r="T24" i="1"/>
  <c r="S24" i="1"/>
  <c r="R24" i="1"/>
  <c r="Q24" i="1"/>
  <c r="P24" i="1"/>
  <c r="O24" i="1"/>
  <c r="N24" i="1"/>
  <c r="M24" i="1"/>
  <c r="L24" i="1"/>
  <c r="U23" i="1"/>
  <c r="T23" i="1"/>
  <c r="S23" i="1"/>
  <c r="R23" i="1"/>
  <c r="Q23" i="1"/>
  <c r="P23" i="1"/>
  <c r="O23" i="1"/>
  <c r="N23" i="1"/>
  <c r="M23" i="1"/>
  <c r="L23" i="1"/>
  <c r="U22" i="1"/>
  <c r="T22" i="1"/>
  <c r="S22" i="1"/>
  <c r="R22" i="1"/>
  <c r="Q22" i="1"/>
  <c r="P22" i="1"/>
  <c r="O22" i="1"/>
  <c r="N22" i="1"/>
  <c r="M22" i="1"/>
  <c r="L22" i="1"/>
  <c r="U21" i="1"/>
  <c r="T21" i="1"/>
  <c r="S21" i="1"/>
  <c r="R21" i="1"/>
  <c r="Q21" i="1"/>
  <c r="P21" i="1"/>
  <c r="O21" i="1"/>
  <c r="N21" i="1"/>
  <c r="M21" i="1"/>
  <c r="L21" i="1"/>
  <c r="U20" i="1"/>
  <c r="T20" i="1"/>
  <c r="S20" i="1"/>
  <c r="R20" i="1"/>
  <c r="Q20" i="1"/>
  <c r="P20" i="1"/>
  <c r="O20" i="1"/>
  <c r="N20" i="1"/>
  <c r="M20" i="1"/>
  <c r="L20" i="1"/>
  <c r="U19" i="1"/>
  <c r="T19" i="1"/>
  <c r="S19" i="1"/>
  <c r="R19" i="1"/>
  <c r="Q19" i="1"/>
  <c r="P19" i="1"/>
  <c r="O19" i="1"/>
  <c r="N19" i="1"/>
  <c r="M19" i="1"/>
  <c r="L19" i="1"/>
  <c r="U18" i="1"/>
  <c r="T18" i="1"/>
  <c r="S18" i="1"/>
  <c r="R18" i="1"/>
  <c r="Q18" i="1"/>
  <c r="P18" i="1"/>
  <c r="O18" i="1"/>
  <c r="N18" i="1"/>
  <c r="M18" i="1"/>
  <c r="L18" i="1"/>
  <c r="U17" i="1"/>
  <c r="T17" i="1"/>
  <c r="S17" i="1"/>
  <c r="R17" i="1"/>
  <c r="Q17" i="1"/>
  <c r="P17" i="1"/>
  <c r="O17" i="1"/>
  <c r="N17" i="1"/>
  <c r="M17" i="1"/>
  <c r="L17" i="1"/>
  <c r="U16" i="1"/>
  <c r="T16" i="1"/>
  <c r="S16" i="1"/>
  <c r="R16" i="1"/>
  <c r="Q16" i="1"/>
  <c r="P16" i="1"/>
  <c r="O16" i="1"/>
  <c r="N16" i="1"/>
  <c r="M16" i="1"/>
  <c r="L16" i="1"/>
  <c r="U15" i="1"/>
  <c r="T15" i="1"/>
  <c r="S15" i="1"/>
  <c r="R15" i="1"/>
  <c r="Q15" i="1"/>
  <c r="P15" i="1"/>
  <c r="O15" i="1"/>
  <c r="N15" i="1"/>
  <c r="M15" i="1"/>
  <c r="L15" i="1"/>
  <c r="U14" i="1"/>
  <c r="T14" i="1"/>
  <c r="S14" i="1"/>
  <c r="R14" i="1"/>
  <c r="Q14" i="1"/>
  <c r="P14" i="1"/>
  <c r="O14" i="1"/>
  <c r="N14" i="1"/>
  <c r="M14" i="1"/>
  <c r="L14" i="1"/>
  <c r="U13" i="1"/>
  <c r="T13" i="1"/>
  <c r="S13" i="1"/>
  <c r="R13" i="1"/>
  <c r="Q13" i="1"/>
  <c r="P13" i="1"/>
  <c r="O13" i="1"/>
  <c r="N13" i="1"/>
  <c r="M13" i="1"/>
  <c r="L13" i="1"/>
  <c r="U12" i="1"/>
  <c r="T12" i="1"/>
  <c r="S12" i="1"/>
  <c r="R12" i="1"/>
  <c r="Q12" i="1"/>
  <c r="P12" i="1"/>
  <c r="O12" i="1"/>
  <c r="N12" i="1"/>
  <c r="M12" i="1"/>
  <c r="L12" i="1"/>
  <c r="U11" i="1"/>
  <c r="T11" i="1"/>
  <c r="S11" i="1"/>
  <c r="R11" i="1"/>
  <c r="Q11" i="1"/>
  <c r="P11" i="1"/>
  <c r="O11" i="1"/>
  <c r="N11" i="1"/>
  <c r="M11" i="1"/>
  <c r="L11" i="1"/>
  <c r="U10" i="1"/>
  <c r="T10" i="1"/>
  <c r="S10" i="1"/>
  <c r="R10" i="1"/>
  <c r="Q10" i="1"/>
  <c r="P10" i="1"/>
  <c r="O10" i="1"/>
  <c r="N10" i="1"/>
  <c r="M10" i="1"/>
  <c r="L10" i="1"/>
  <c r="U9" i="1"/>
  <c r="T9" i="1"/>
  <c r="S9" i="1"/>
  <c r="R9" i="1"/>
  <c r="Q9" i="1"/>
  <c r="P9" i="1"/>
  <c r="O9" i="1"/>
  <c r="N9" i="1"/>
  <c r="M9" i="1"/>
  <c r="L9" i="1"/>
  <c r="U8" i="1"/>
  <c r="T8" i="1"/>
  <c r="S8" i="1"/>
  <c r="R8" i="1"/>
  <c r="Q8" i="1"/>
  <c r="P8" i="1"/>
  <c r="O8" i="1"/>
  <c r="N8" i="1"/>
  <c r="M8" i="1"/>
  <c r="L8" i="1"/>
  <c r="U7" i="1"/>
  <c r="T7" i="1"/>
  <c r="S7" i="1"/>
  <c r="R7" i="1"/>
  <c r="Q7" i="1"/>
  <c r="P7" i="1"/>
  <c r="O7" i="1"/>
  <c r="N7" i="1"/>
  <c r="M7" i="1"/>
  <c r="L7" i="1"/>
  <c r="U6" i="1"/>
  <c r="T6" i="1"/>
  <c r="S6" i="1"/>
  <c r="R6" i="1"/>
  <c r="Q6" i="1"/>
  <c r="P6" i="1"/>
  <c r="O6" i="1"/>
  <c r="N6" i="1"/>
  <c r="M6" i="1"/>
  <c r="L6" i="1"/>
  <c r="U5" i="1"/>
  <c r="T5" i="1"/>
  <c r="S5" i="1"/>
  <c r="R5" i="1"/>
  <c r="Q5" i="1"/>
  <c r="P5" i="1"/>
  <c r="O5" i="1"/>
  <c r="N5" i="1"/>
  <c r="M5" i="1"/>
  <c r="L5" i="1"/>
  <c r="U4" i="1"/>
  <c r="T4" i="1"/>
  <c r="S4" i="1"/>
  <c r="R4" i="1"/>
  <c r="Q4" i="1"/>
  <c r="P4" i="1"/>
  <c r="O4" i="1"/>
  <c r="N4" i="1"/>
  <c r="M4" i="1"/>
  <c r="L4" i="1"/>
  <c r="U3" i="1"/>
  <c r="T3" i="1"/>
  <c r="S3" i="1"/>
  <c r="R3" i="1"/>
  <c r="Q3" i="1"/>
  <c r="P3" i="1"/>
  <c r="O3" i="1"/>
  <c r="N3" i="1"/>
  <c r="M3" i="1"/>
  <c r="L3" i="1"/>
  <c r="U2" i="1"/>
  <c r="T2" i="1"/>
  <c r="S2" i="1"/>
  <c r="R2" i="1"/>
  <c r="Q2" i="1"/>
  <c r="P2" i="1"/>
  <c r="O2" i="1"/>
  <c r="N2" i="1"/>
  <c r="M2" i="1"/>
  <c r="L2" i="1"/>
  <c r="A6" i="4"/>
  <c r="M6" i="4"/>
  <c r="E6" i="4"/>
</calcChain>
</file>

<file path=xl/sharedStrings.xml><?xml version="1.0" encoding="utf-8"?>
<sst xmlns="http://schemas.openxmlformats.org/spreadsheetml/2006/main" count="754" uniqueCount="127">
  <si>
    <t>Order_ID</t>
  </si>
  <si>
    <t>Order_Date</t>
  </si>
  <si>
    <t>Customer</t>
  </si>
  <si>
    <t>City</t>
  </si>
  <si>
    <t>Product</t>
  </si>
  <si>
    <t>Category</t>
  </si>
  <si>
    <t>Quantity</t>
  </si>
  <si>
    <t>Unit_Price</t>
  </si>
  <si>
    <t>Discount_%</t>
  </si>
  <si>
    <t>Sales_Person</t>
  </si>
  <si>
    <t>Payment_Mode</t>
  </si>
  <si>
    <t>Total_Sales</t>
  </si>
  <si>
    <t>Sanjay</t>
  </si>
  <si>
    <t>Navsari</t>
  </si>
  <si>
    <t>Chair</t>
  </si>
  <si>
    <t>Furniture</t>
  </si>
  <si>
    <t>Chirag</t>
  </si>
  <si>
    <t>Cash</t>
  </si>
  <si>
    <t>Karan</t>
  </si>
  <si>
    <t>Surat</t>
  </si>
  <si>
    <t>Laptop</t>
  </si>
  <si>
    <t>Electronics</t>
  </si>
  <si>
    <t>Esha</t>
  </si>
  <si>
    <t>Vivek</t>
  </si>
  <si>
    <t>Ahmedabad</t>
  </si>
  <si>
    <t>Bag</t>
  </si>
  <si>
    <t>Accessories</t>
  </si>
  <si>
    <t>Bhavna</t>
  </si>
  <si>
    <t>Card</t>
  </si>
  <si>
    <t>Riya</t>
  </si>
  <si>
    <t>Keyboard</t>
  </si>
  <si>
    <t>UPI</t>
  </si>
  <si>
    <t>Rahul</t>
  </si>
  <si>
    <t>Vadodara</t>
  </si>
  <si>
    <t>Mouse</t>
  </si>
  <si>
    <t>Anil</t>
  </si>
  <si>
    <t>Pooja</t>
  </si>
  <si>
    <t>Deep</t>
  </si>
  <si>
    <t>Rajkot</t>
  </si>
  <si>
    <t>Net Banking</t>
  </si>
  <si>
    <t>Bottle</t>
  </si>
  <si>
    <t>Amit</t>
  </si>
  <si>
    <t>Table</t>
  </si>
  <si>
    <t>Neha</t>
  </si>
  <si>
    <t>Priya</t>
  </si>
  <si>
    <t>Dev</t>
  </si>
  <si>
    <t xml:space="preserve">sales status </t>
  </si>
  <si>
    <t>status</t>
  </si>
  <si>
    <t>bonus status</t>
  </si>
  <si>
    <t>Sales Performance Dashboard</t>
  </si>
  <si>
    <t>Retail Sales Dataset</t>
  </si>
  <si>
    <t xml:space="preserve">Project name </t>
  </si>
  <si>
    <t xml:space="preserve">Dataset name </t>
  </si>
  <si>
    <t>Prepared byy</t>
  </si>
  <si>
    <t>version</t>
  </si>
  <si>
    <t xml:space="preserve">status </t>
  </si>
  <si>
    <t xml:space="preserve">Last updated </t>
  </si>
  <si>
    <t xml:space="preserve">In progress </t>
  </si>
  <si>
    <t xml:space="preserve">check </t>
  </si>
  <si>
    <t>Total Rows Count</t>
  </si>
  <si>
    <t>Total Columns Count</t>
  </si>
  <si>
    <t>Duplicate Check</t>
  </si>
  <si>
    <t>Blank Value Check</t>
  </si>
  <si>
    <t>Date Format Check</t>
  </si>
  <si>
    <t>Data Type Check</t>
  </si>
  <si>
    <t>Invalid Value Check</t>
  </si>
  <si>
    <t>Helper Columns Added</t>
  </si>
  <si>
    <t>Final Validation</t>
  </si>
  <si>
    <t>Total Rows</t>
  </si>
  <si>
    <t>Total Column</t>
  </si>
  <si>
    <t xml:space="preserve">Total sales </t>
  </si>
  <si>
    <t>Total orders</t>
  </si>
  <si>
    <t xml:space="preserve">unique Customer </t>
  </si>
  <si>
    <t>unique City</t>
  </si>
  <si>
    <t>pass</t>
  </si>
  <si>
    <t xml:space="preserve">column Name </t>
  </si>
  <si>
    <t>blank count</t>
  </si>
  <si>
    <t xml:space="preserve">order id </t>
  </si>
  <si>
    <t xml:space="preserve">order Date </t>
  </si>
  <si>
    <t xml:space="preserve">customer </t>
  </si>
  <si>
    <t>city</t>
  </si>
  <si>
    <t>product</t>
  </si>
  <si>
    <t>category</t>
  </si>
  <si>
    <t>quantity</t>
  </si>
  <si>
    <t xml:space="preserve">unit price </t>
  </si>
  <si>
    <t>discount %</t>
  </si>
  <si>
    <t xml:space="preserve">sales person </t>
  </si>
  <si>
    <t>payment mode</t>
  </si>
  <si>
    <t xml:space="preserve">total sales </t>
  </si>
  <si>
    <t>year</t>
  </si>
  <si>
    <t>month no</t>
  </si>
  <si>
    <t xml:space="preserve">month name </t>
  </si>
  <si>
    <t>quarter</t>
  </si>
  <si>
    <t xml:space="preserve">day name </t>
  </si>
  <si>
    <t>week no</t>
  </si>
  <si>
    <t xml:space="preserve">Dataset Ready </t>
  </si>
  <si>
    <t>Sales Performance Analysis</t>
  </si>
  <si>
    <t>Sum of Quantity</t>
  </si>
  <si>
    <t>Count of Customer</t>
  </si>
  <si>
    <t>Sum of Total_Sales</t>
  </si>
  <si>
    <t>low sales</t>
  </si>
  <si>
    <t>NO BONUS</t>
  </si>
  <si>
    <t>January</t>
  </si>
  <si>
    <t>high sales</t>
  </si>
  <si>
    <t>BONUS</t>
  </si>
  <si>
    <t>Count of Order_ID</t>
  </si>
  <si>
    <t>Grand Total</t>
  </si>
  <si>
    <t>Row Labels</t>
  </si>
  <si>
    <t xml:space="preserve"> KPI Cards</t>
  </si>
  <si>
    <t>Sales by Category</t>
  </si>
  <si>
    <t xml:space="preserve">Sales by city </t>
  </si>
  <si>
    <t>Sales by sales_person</t>
  </si>
  <si>
    <t xml:space="preserve">Payment mode </t>
  </si>
  <si>
    <t xml:space="preserve">Month wise sales </t>
  </si>
  <si>
    <t>Sales status</t>
  </si>
  <si>
    <t>SALES PERFORMANCE DASHBOARD</t>
  </si>
  <si>
    <t>Total sales</t>
  </si>
  <si>
    <t>Total qunatity</t>
  </si>
  <si>
    <t>Total Categories</t>
  </si>
  <si>
    <t>Total Cities</t>
  </si>
  <si>
    <t>Total Customers</t>
  </si>
  <si>
    <t>Helper KPI</t>
  </si>
  <si>
    <t>February</t>
  </si>
  <si>
    <t>March</t>
  </si>
  <si>
    <t>May</t>
  </si>
  <si>
    <t>June</t>
  </si>
  <si>
    <t>April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</si>
</sst>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7" x14ac:knownFonts="1">
    <font>
      <sz val="11"/>
      <color theme="1"/>
      <name val="Calibri"/>
      <family val="2"/>
      <scheme val="minor"/>
    </font>
    <font>
      <b/>
      <sz val="11"/>
      <color theme="1"/>
      <name val="Calibri"/>
      <family val="2"/>
      <scheme val="minor"/>
    </font>
    <font>
      <sz val="11"/>
      <color rgb="FF00B050"/>
      <name val="Calibri"/>
      <family val="2"/>
      <scheme val="minor"/>
    </font>
    <font>
      <b/>
      <sz val="16"/>
      <color rgb="FF0070C0"/>
      <name val="Calibri"/>
      <family val="2"/>
      <scheme val="minor"/>
    </font>
    <font>
      <b/>
      <sz val="12"/>
      <color rgb="FF0070C0"/>
      <name val="Calibri"/>
      <family val="2"/>
      <scheme val="minor"/>
    </font>
    <font>
      <b/>
      <sz val="22"/>
      <color theme="0"/>
      <name val="Calibri"/>
      <family val="2"/>
      <scheme val="minor"/>
    </font>
    <font>
      <sz val="22"/>
      <color theme="1"/>
      <name val="Calibri"/>
      <family val="2"/>
      <scheme val="minor"/>
    </font>
  </fonts>
  <fills count="7">
    <fill>
      <patternFill patternType="none"/>
    </fill>
    <fill>
      <patternFill patternType="gray125"/>
    </fill>
    <fill>
      <patternFill patternType="solid">
        <fgColor theme="3" tint="0.59999389629810485"/>
        <bgColor indexed="64"/>
      </patternFill>
    </fill>
    <fill>
      <patternFill patternType="solid">
        <fgColor theme="0"/>
        <bgColor indexed="64"/>
      </patternFill>
    </fill>
    <fill>
      <patternFill patternType="solid">
        <fgColor theme="3"/>
        <bgColor indexed="64"/>
      </patternFill>
    </fill>
    <fill>
      <patternFill patternType="solid">
        <fgColor theme="3" tint="0.79998168889431442"/>
        <bgColor indexed="64"/>
      </patternFill>
    </fill>
    <fill>
      <patternFill patternType="solid">
        <fgColor theme="3" tint="0.39997558519241921"/>
        <bgColor indexed="64"/>
      </patternFill>
    </fill>
  </fills>
  <borders count="3">
    <border>
      <left/>
      <right/>
      <top/>
      <bottom/>
      <diagonal/>
    </border>
    <border>
      <left style="medium">
        <color auto="1"/>
      </left>
      <right style="medium">
        <color auto="1"/>
      </right>
      <top style="medium">
        <color auto="1"/>
      </top>
      <bottom style="medium">
        <color auto="1"/>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0" fillId="0" borderId="0" xfId="0" applyNumberFormat="1"/>
    <xf numFmtId="0" fontId="1" fillId="0" borderId="0" xfId="0" applyFont="1"/>
    <xf numFmtId="0" fontId="1" fillId="2" borderId="1" xfId="0" applyFont="1" applyFill="1" applyBorder="1"/>
    <xf numFmtId="0" fontId="0" fillId="2" borderId="1" xfId="0" applyFont="1" applyFill="1" applyBorder="1"/>
    <xf numFmtId="0" fontId="0" fillId="2" borderId="1" xfId="0" applyFont="1" applyFill="1" applyBorder="1" applyAlignment="1">
      <alignment vertical="center" wrapText="1"/>
    </xf>
    <xf numFmtId="14" fontId="0" fillId="2" borderId="1" xfId="0" applyNumberFormat="1" applyFont="1" applyFill="1" applyBorder="1"/>
    <xf numFmtId="0" fontId="1" fillId="3" borderId="2" xfId="0" applyFont="1" applyFill="1" applyBorder="1"/>
    <xf numFmtId="0" fontId="2" fillId="0" borderId="0" xfId="0" applyFont="1"/>
    <xf numFmtId="164" fontId="0" fillId="0" borderId="0" xfId="0" applyNumberFormat="1"/>
    <xf numFmtId="0" fontId="3" fillId="0" borderId="0" xfId="0" applyFont="1"/>
    <xf numFmtId="0" fontId="0" fillId="0" borderId="0" xfId="0" pivotButton="1"/>
    <xf numFmtId="0" fontId="0" fillId="0" borderId="0" xfId="0" applyAlignment="1">
      <alignment horizontal="left"/>
    </xf>
    <xf numFmtId="0" fontId="4" fillId="0" borderId="0" xfId="0" applyFont="1" applyAlignment="1">
      <alignment horizontal="left"/>
    </xf>
    <xf numFmtId="0" fontId="4" fillId="0" borderId="0" xfId="0" applyFont="1"/>
    <xf numFmtId="0" fontId="6" fillId="3" borderId="0" xfId="0" applyFont="1" applyFill="1" applyAlignment="1"/>
    <xf numFmtId="0" fontId="0" fillId="0" borderId="0" xfId="0" applyAlignment="1">
      <alignment horizontal="center"/>
    </xf>
    <xf numFmtId="0" fontId="4" fillId="0" borderId="0" xfId="0" applyFont="1" applyAlignment="1">
      <alignment horizontal="center"/>
    </xf>
    <xf numFmtId="0" fontId="5" fillId="4" borderId="0" xfId="0" applyFont="1" applyFill="1" applyAlignment="1">
      <alignment horizontal="center"/>
    </xf>
    <xf numFmtId="0" fontId="6" fillId="6" borderId="0" xfId="0" applyFont="1" applyFill="1" applyAlignment="1">
      <alignment horizontal="center"/>
    </xf>
    <xf numFmtId="0" fontId="6" fillId="2" borderId="0" xfId="0" applyFont="1" applyFill="1" applyAlignment="1">
      <alignment horizontal="center"/>
    </xf>
    <xf numFmtId="0" fontId="6" fillId="5" borderId="0" xfId="0" applyFont="1" applyFill="1" applyAlignment="1">
      <alignment horizontal="center"/>
    </xf>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dd\-mmm\-yyyy"/>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externalLink" Target="externalLinks/externalLink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(Recovered) (Recovered).xlsx]Analysis!PT_Category</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Category</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chemeClr val="accent1"/>
          </a:solidFill>
          <a:ln>
            <a:noFill/>
          </a:ln>
          <a:effectLst/>
        </c:spPr>
      </c:pivotFmt>
    </c:pivotFmts>
    <c:plotArea>
      <c:layout>
        <c:manualLayout>
          <c:layoutTarget val="inner"/>
          <c:xMode val="edge"/>
          <c:yMode val="edge"/>
          <c:x val="0.11085764089141625"/>
          <c:y val="0.15809080409659648"/>
          <c:w val="0.8695255018179382"/>
          <c:h val="0.74977630031772213"/>
        </c:manualLayout>
      </c:layout>
      <c:barChart>
        <c:barDir val="col"/>
        <c:grouping val="clustered"/>
        <c:varyColors val="0"/>
        <c:ser>
          <c:idx val="0"/>
          <c:order val="0"/>
          <c:tx>
            <c:strRef>
              <c:f>Analysis!$B$10</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Analysis!$A$11:$A$14</c:f>
              <c:strCache>
                <c:ptCount val="3"/>
                <c:pt idx="0">
                  <c:v>Accessories</c:v>
                </c:pt>
                <c:pt idx="1">
                  <c:v>Electronics</c:v>
                </c:pt>
                <c:pt idx="2">
                  <c:v>Furniture</c:v>
                </c:pt>
              </c:strCache>
            </c:strRef>
          </c:cat>
          <c:val>
            <c:numRef>
              <c:f>Analysis!$B$11:$B$14</c:f>
              <c:numCache>
                <c:formatCode>General</c:formatCode>
                <c:ptCount val="3"/>
                <c:pt idx="0">
                  <c:v>339725</c:v>
                </c:pt>
                <c:pt idx="1">
                  <c:v>652562.5</c:v>
                </c:pt>
                <c:pt idx="2">
                  <c:v>721512.5</c:v>
                </c:pt>
              </c:numCache>
            </c:numRef>
          </c:val>
          <c:extLst>
            <c:ext xmlns:c16="http://schemas.microsoft.com/office/drawing/2014/chart" uri="{C3380CC4-5D6E-409C-BE32-E72D297353CC}">
              <c16:uniqueId val="{00000000-659D-4B2B-92A2-BEDEBDF396EC}"/>
            </c:ext>
          </c:extLst>
        </c:ser>
        <c:dLbls>
          <c:dLblPos val="outEnd"/>
          <c:showLegendKey val="0"/>
          <c:showVal val="1"/>
          <c:showCatName val="0"/>
          <c:showSerName val="0"/>
          <c:showPercent val="0"/>
          <c:showBubbleSize val="0"/>
        </c:dLbls>
        <c:gapWidth val="219"/>
        <c:overlap val="-27"/>
        <c:axId val="171307440"/>
        <c:axId val="171312432"/>
      </c:barChart>
      <c:catAx>
        <c:axId val="171307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12432"/>
        <c:crosses val="autoZero"/>
        <c:auto val="1"/>
        <c:lblAlgn val="ctr"/>
        <c:lblOffset val="100"/>
        <c:noMultiLvlLbl val="0"/>
      </c:catAx>
      <c:valAx>
        <c:axId val="1713124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3074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(Recovered) (Recovered).xlsx]Analysis!PT_paymentmode</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Payment</a:t>
            </a:r>
            <a:r>
              <a:rPr lang="en-US" b="1" baseline="0"/>
              <a:t> mode </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layout/>
            </c:ext>
          </c:extLst>
        </c:dLbl>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pieChart>
        <c:varyColors val="1"/>
        <c:ser>
          <c:idx val="0"/>
          <c:order val="0"/>
          <c:tx>
            <c:strRef>
              <c:f>Analysis!$E$10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D31-4ABD-A668-51F5FB928F3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D31-4ABD-A668-51F5FB928F3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3D31-4ABD-A668-51F5FB928F3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3D31-4ABD-A668-51F5FB928F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Analysis!$D$11:$D$15</c:f>
              <c:strCache>
                <c:ptCount val="4"/>
                <c:pt idx="0">
                  <c:v>Card</c:v>
                </c:pt>
                <c:pt idx="1">
                  <c:v>Cash</c:v>
                </c:pt>
                <c:pt idx="2">
                  <c:v>Net Banking</c:v>
                </c:pt>
                <c:pt idx="3">
                  <c:v>UPI</c:v>
                </c:pt>
              </c:strCache>
            </c:strRef>
          </c:cat>
          <c:val>
            <c:numRef>
              <c:f>Analysis!$E$11:$E$15</c:f>
              <c:numCache>
                <c:formatCode>General</c:formatCode>
                <c:ptCount val="4"/>
                <c:pt idx="0">
                  <c:v>393400</c:v>
                </c:pt>
                <c:pt idx="1">
                  <c:v>516075</c:v>
                </c:pt>
                <c:pt idx="2">
                  <c:v>312987.5</c:v>
                </c:pt>
                <c:pt idx="3">
                  <c:v>491337.5</c:v>
                </c:pt>
              </c:numCache>
            </c:numRef>
          </c:val>
          <c:extLst>
            <c:ext xmlns:c16="http://schemas.microsoft.com/office/drawing/2014/chart" uri="{C3380CC4-5D6E-409C-BE32-E72D297353CC}">
              <c16:uniqueId val="{00000008-3D31-4ABD-A668-51F5FB928F3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81853497861875968"/>
          <c:y val="0.69477883515937577"/>
          <c:w val="0.1534618406047725"/>
          <c:h val="0.277994291306792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(Recovered) (Recovered).xlsx]Analysis!PT_City</c:name>
    <c:fmtId val="4"/>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Sales by City</a:t>
            </a:r>
            <a:r>
              <a:rPr lang="en-US" b="1" baseline="0"/>
              <a:t> </a:t>
            </a:r>
            <a:endParaRPr lang="en-US" b="1"/>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dLbl>
          <c:idx val="0"/>
          <c:layout/>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Analysis!$B$19</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Analysis!$A$20:$A$25</c:f>
              <c:strCache>
                <c:ptCount val="5"/>
                <c:pt idx="0">
                  <c:v>Ahmedabad</c:v>
                </c:pt>
                <c:pt idx="1">
                  <c:v>Navsari</c:v>
                </c:pt>
                <c:pt idx="2">
                  <c:v>Rajkot</c:v>
                </c:pt>
                <c:pt idx="3">
                  <c:v>Surat</c:v>
                </c:pt>
                <c:pt idx="4">
                  <c:v>Vadodara</c:v>
                </c:pt>
              </c:strCache>
            </c:strRef>
          </c:cat>
          <c:val>
            <c:numRef>
              <c:f>Analysis!$B$20:$B$25</c:f>
              <c:numCache>
                <c:formatCode>General</c:formatCode>
                <c:ptCount val="5"/>
                <c:pt idx="0">
                  <c:v>457462.5</c:v>
                </c:pt>
                <c:pt idx="1">
                  <c:v>237137.5</c:v>
                </c:pt>
                <c:pt idx="2">
                  <c:v>359712.5</c:v>
                </c:pt>
                <c:pt idx="3">
                  <c:v>304825</c:v>
                </c:pt>
                <c:pt idx="4">
                  <c:v>354662.5</c:v>
                </c:pt>
              </c:numCache>
            </c:numRef>
          </c:val>
          <c:extLst>
            <c:ext xmlns:c16="http://schemas.microsoft.com/office/drawing/2014/chart" uri="{C3380CC4-5D6E-409C-BE32-E72D297353CC}">
              <c16:uniqueId val="{00000000-6F98-402D-B3A1-6B0853D4127C}"/>
            </c:ext>
          </c:extLst>
        </c:ser>
        <c:dLbls>
          <c:dLblPos val="outEnd"/>
          <c:showLegendKey val="0"/>
          <c:showVal val="1"/>
          <c:showCatName val="0"/>
          <c:showSerName val="0"/>
          <c:showPercent val="0"/>
          <c:showBubbleSize val="0"/>
        </c:dLbls>
        <c:gapWidth val="182"/>
        <c:axId val="1306420592"/>
        <c:axId val="1306421008"/>
      </c:barChart>
      <c:catAx>
        <c:axId val="130642059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421008"/>
        <c:crosses val="autoZero"/>
        <c:auto val="1"/>
        <c:lblAlgn val="ctr"/>
        <c:lblOffset val="100"/>
        <c:noMultiLvlLbl val="0"/>
      </c:catAx>
      <c:valAx>
        <c:axId val="1306421008"/>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42059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(Recovered) (Recovered).xlsx]Analysis!PT_monthsales</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t>Month Sales Trend </a:t>
            </a:r>
            <a:endParaRPr lang="en-US" b="1"/>
          </a:p>
        </c:rich>
      </c:tx>
      <c:layout>
        <c:manualLayout>
          <c:xMode val="edge"/>
          <c:yMode val="edge"/>
          <c:x val="0.37274121737457527"/>
          <c:y val="6.4346247948684807E-2"/>
        </c:manualLayout>
      </c:layout>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Analysis!$E$19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Analysis!$D$20:$D$26</c:f>
              <c:strCache>
                <c:ptCount val="6"/>
                <c:pt idx="0">
                  <c:v>January</c:v>
                </c:pt>
                <c:pt idx="1">
                  <c:v>February</c:v>
                </c:pt>
                <c:pt idx="2">
                  <c:v>March</c:v>
                </c:pt>
                <c:pt idx="3">
                  <c:v>April</c:v>
                </c:pt>
                <c:pt idx="4">
                  <c:v>May</c:v>
                </c:pt>
                <c:pt idx="5">
                  <c:v>June</c:v>
                </c:pt>
              </c:strCache>
            </c:strRef>
          </c:cat>
          <c:val>
            <c:numRef>
              <c:f>Analysis!$E$20:$E$26</c:f>
              <c:numCache>
                <c:formatCode>General</c:formatCode>
                <c:ptCount val="6"/>
                <c:pt idx="0">
                  <c:v>275075</c:v>
                </c:pt>
                <c:pt idx="1">
                  <c:v>175312.5</c:v>
                </c:pt>
                <c:pt idx="2">
                  <c:v>238600</c:v>
                </c:pt>
                <c:pt idx="3">
                  <c:v>441750</c:v>
                </c:pt>
                <c:pt idx="4">
                  <c:v>276512.5</c:v>
                </c:pt>
                <c:pt idx="5">
                  <c:v>306550</c:v>
                </c:pt>
              </c:numCache>
            </c:numRef>
          </c:val>
          <c:extLst>
            <c:ext xmlns:c16="http://schemas.microsoft.com/office/drawing/2014/chart" uri="{C3380CC4-5D6E-409C-BE32-E72D297353CC}">
              <c16:uniqueId val="{00000002-1AD2-4FCC-8C08-29AA2CE185A7}"/>
            </c:ext>
          </c:extLst>
        </c:ser>
        <c:dLbls>
          <c:dLblPos val="outEnd"/>
          <c:showLegendKey val="0"/>
          <c:showVal val="1"/>
          <c:showCatName val="0"/>
          <c:showSerName val="0"/>
          <c:showPercent val="0"/>
          <c:showBubbleSize val="0"/>
        </c:dLbls>
        <c:gapWidth val="219"/>
        <c:overlap val="-27"/>
        <c:axId val="1341463952"/>
        <c:axId val="1341462288"/>
      </c:barChart>
      <c:catAx>
        <c:axId val="134146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462288"/>
        <c:crosses val="autoZero"/>
        <c:auto val="1"/>
        <c:lblAlgn val="ctr"/>
        <c:lblOffset val="100"/>
        <c:noMultiLvlLbl val="0"/>
      </c:catAx>
      <c:valAx>
        <c:axId val="134146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1463952"/>
        <c:crosses val="autoZero"/>
        <c:crossBetween val="between"/>
      </c:valAx>
    </c:plotArea>
    <c:plotVisOnly val="1"/>
    <c:dispBlanksAs val="gap"/>
    <c:showDLblsOverMax val="0"/>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[Sales_Performance_Dashboard (Recovered) (Recovered).xlsx]Analysis!PT_salesperson </c:name>
    <c:fmtId val="3"/>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a:t>Sales by Salesperson</a:t>
            </a:r>
          </a:p>
        </c:rich>
      </c:tx>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numFmt formatCode="#,##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col"/>
        <c:grouping val="clustered"/>
        <c:varyColors val="0"/>
        <c:ser>
          <c:idx val="0"/>
          <c:order val="0"/>
          <c:tx>
            <c:strRef>
              <c:f>Analysis!$B$29</c:f>
              <c:strCache>
                <c:ptCount val="1"/>
                <c:pt idx="0">
                  <c:v>Total</c:v>
                </c:pt>
              </c:strCache>
            </c:strRef>
          </c:tx>
          <c:spPr>
            <a:solidFill>
              <a:schemeClr val="accent1"/>
            </a:solidFill>
            <a:ln>
              <a:noFill/>
            </a:ln>
            <a:effectLst/>
          </c:spPr>
          <c:invertIfNegative val="0"/>
          <c:dLbls>
            <c:numFmt formatCode="#,##0" sourceLinked="0"/>
            <c:spPr>
              <a:noFill/>
              <a:ln>
                <a:noFill/>
              </a:ln>
              <a:effectLst/>
            </c:spPr>
            <c:txPr>
              <a:bodyPr rot="0" spcFirstLastPara="1" vertOverflow="ellipsis" vert="horz" wrap="square" anchor="ctr" anchorCtr="1"/>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Analysis!$A$30:$A$35</c:f>
              <c:strCache>
                <c:ptCount val="5"/>
                <c:pt idx="0">
                  <c:v>Anil</c:v>
                </c:pt>
                <c:pt idx="1">
                  <c:v>Bhavna</c:v>
                </c:pt>
                <c:pt idx="2">
                  <c:v>Chirag</c:v>
                </c:pt>
                <c:pt idx="3">
                  <c:v>Deep</c:v>
                </c:pt>
                <c:pt idx="4">
                  <c:v>Esha</c:v>
                </c:pt>
              </c:strCache>
            </c:strRef>
          </c:cat>
          <c:val>
            <c:numRef>
              <c:f>Analysis!$B$30:$B$35</c:f>
              <c:numCache>
                <c:formatCode>General</c:formatCode>
                <c:ptCount val="5"/>
                <c:pt idx="0">
                  <c:v>308612.5</c:v>
                </c:pt>
                <c:pt idx="1">
                  <c:v>223412.5</c:v>
                </c:pt>
                <c:pt idx="2">
                  <c:v>443287.5</c:v>
                </c:pt>
                <c:pt idx="3">
                  <c:v>380050</c:v>
                </c:pt>
                <c:pt idx="4">
                  <c:v>358437.5</c:v>
                </c:pt>
              </c:numCache>
            </c:numRef>
          </c:val>
          <c:extLst>
            <c:ext xmlns:c16="http://schemas.microsoft.com/office/drawing/2014/chart" uri="{C3380CC4-5D6E-409C-BE32-E72D297353CC}">
              <c16:uniqueId val="{00000000-3853-48DA-B4D0-34331FE7DA7F}"/>
            </c:ext>
          </c:extLst>
        </c:ser>
        <c:dLbls>
          <c:dLblPos val="outEnd"/>
          <c:showLegendKey val="0"/>
          <c:showVal val="1"/>
          <c:showCatName val="0"/>
          <c:showSerName val="0"/>
          <c:showPercent val="0"/>
          <c:showBubbleSize val="0"/>
        </c:dLbls>
        <c:gapWidth val="219"/>
        <c:overlap val="-27"/>
        <c:axId val="1341463952"/>
        <c:axId val="1341462288"/>
      </c:barChart>
      <c:catAx>
        <c:axId val="13414639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462288"/>
        <c:crosses val="autoZero"/>
        <c:auto val="1"/>
        <c:lblAlgn val="ctr"/>
        <c:lblOffset val="100"/>
        <c:noMultiLvlLbl val="0"/>
      </c:catAx>
      <c:valAx>
        <c:axId val="13414622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34146395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250030</xdr:colOff>
      <xdr:row>9</xdr:row>
      <xdr:rowOff>23812</xdr:rowOff>
    </xdr:from>
    <xdr:to>
      <xdr:col>8</xdr:col>
      <xdr:colOff>23812</xdr:colOff>
      <xdr:row>25</xdr:row>
      <xdr:rowOff>95249</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107155</xdr:colOff>
      <xdr:row>9</xdr:row>
      <xdr:rowOff>23813</xdr:rowOff>
    </xdr:from>
    <xdr:to>
      <xdr:col>17</xdr:col>
      <xdr:colOff>238124</xdr:colOff>
      <xdr:row>25</xdr:row>
      <xdr:rowOff>59531</xdr:rowOff>
    </xdr:to>
    <xdr:graphicFrame macro="">
      <xdr:nvGraphicFramePr>
        <xdr:cNvPr id="3" name="payment mode"/>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314324</xdr:colOff>
      <xdr:row>27</xdr:row>
      <xdr:rowOff>35718</xdr:rowOff>
    </xdr:from>
    <xdr:to>
      <xdr:col>8</xdr:col>
      <xdr:colOff>123825</xdr:colOff>
      <xdr:row>42</xdr:row>
      <xdr:rowOff>188391</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35718</xdr:colOff>
      <xdr:row>27</xdr:row>
      <xdr:rowOff>35718</xdr:rowOff>
    </xdr:from>
    <xdr:to>
      <xdr:col>17</xdr:col>
      <xdr:colOff>190500</xdr:colOff>
      <xdr:row>42</xdr:row>
      <xdr:rowOff>104775</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404812</xdr:colOff>
      <xdr:row>44</xdr:row>
      <xdr:rowOff>0</xdr:rowOff>
    </xdr:from>
    <xdr:to>
      <xdr:col>14</xdr:col>
      <xdr:colOff>261937</xdr:colOff>
      <xdr:row>58</xdr:row>
      <xdr:rowOff>76200</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16667</xdr:colOff>
      <xdr:row>38</xdr:row>
      <xdr:rowOff>121444</xdr:rowOff>
    </xdr:from>
    <xdr:to>
      <xdr:col>21</xdr:col>
      <xdr:colOff>23811</xdr:colOff>
      <xdr:row>51</xdr:row>
      <xdr:rowOff>169069</xdr:rowOff>
    </xdr:to>
    <mc:AlternateContent xmlns:mc="http://schemas.openxmlformats.org/markup-compatibility/2006">
      <mc:Choice xmlns:a14="http://schemas.microsoft.com/office/drawing/2010/main" Requires="a14">
        <xdr:graphicFrame macro="">
          <xdr:nvGraphicFramePr>
            <xdr:cNvPr id="7" name="month name "/>
            <xdr:cNvGraphicFramePr/>
          </xdr:nvGraphicFramePr>
          <xdr:xfrm>
            <a:off x="0" y="0"/>
            <a:ext cx="0" cy="0"/>
          </xdr:xfrm>
          <a:graphic>
            <a:graphicData uri="http://schemas.microsoft.com/office/drawing/2010/slicer">
              <sle:slicer xmlns:sle="http://schemas.microsoft.com/office/drawing/2010/slicer" name="month name "/>
            </a:graphicData>
          </a:graphic>
        </xdr:graphicFrame>
      </mc:Choice>
      <mc:Fallback>
        <xdr:sp macro="" textlink="">
          <xdr:nvSpPr>
            <xdr:cNvPr id="0" name=""/>
            <xdr:cNvSpPr>
              <a:spLocks noTextEdit="1"/>
            </xdr:cNvSpPr>
          </xdr:nvSpPr>
          <xdr:spPr>
            <a:xfrm>
              <a:off x="11227592" y="7417594"/>
              <a:ext cx="183594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26193</xdr:colOff>
      <xdr:row>23</xdr:row>
      <xdr:rowOff>164306</xdr:rowOff>
    </xdr:from>
    <xdr:to>
      <xdr:col>21</xdr:col>
      <xdr:colOff>33337</xdr:colOff>
      <xdr:row>37</xdr:row>
      <xdr:rowOff>21431</xdr:rowOff>
    </xdr:to>
    <mc:AlternateContent xmlns:mc="http://schemas.openxmlformats.org/markup-compatibility/2006">
      <mc:Choice xmlns:a14="http://schemas.microsoft.com/office/drawing/2010/main" Requires="a14">
        <xdr:graphicFrame macro="">
          <xdr:nvGraphicFramePr>
            <xdr:cNvPr id="8" name="Payment_Mode"/>
            <xdr:cNvGraphicFramePr/>
          </xdr:nvGraphicFramePr>
          <xdr:xfrm>
            <a:off x="0" y="0"/>
            <a:ext cx="0" cy="0"/>
          </xdr:xfrm>
          <a:graphic>
            <a:graphicData uri="http://schemas.microsoft.com/office/drawing/2010/slicer">
              <sle:slicer xmlns:sle="http://schemas.microsoft.com/office/drawing/2010/slicer" name="Payment_Mode"/>
            </a:graphicData>
          </a:graphic>
        </xdr:graphicFrame>
      </mc:Choice>
      <mc:Fallback>
        <xdr:sp macro="" textlink="">
          <xdr:nvSpPr>
            <xdr:cNvPr id="0" name=""/>
            <xdr:cNvSpPr>
              <a:spLocks noTextEdit="1"/>
            </xdr:cNvSpPr>
          </xdr:nvSpPr>
          <xdr:spPr>
            <a:xfrm>
              <a:off x="11237118" y="4602956"/>
              <a:ext cx="183594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602458</xdr:colOff>
      <xdr:row>53</xdr:row>
      <xdr:rowOff>64293</xdr:rowOff>
    </xdr:from>
    <xdr:to>
      <xdr:col>21</xdr:col>
      <xdr:colOff>2</xdr:colOff>
      <xdr:row>66</xdr:row>
      <xdr:rowOff>111918</xdr:rowOff>
    </xdr:to>
    <mc:AlternateContent xmlns:mc="http://schemas.openxmlformats.org/markup-compatibility/2006">
      <mc:Choice xmlns:a14="http://schemas.microsoft.com/office/drawing/2010/main" Requires="a14">
        <xdr:graphicFrame macro="">
          <xdr:nvGraphicFramePr>
            <xdr:cNvPr id="10" name="City"/>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1203783" y="10217943"/>
              <a:ext cx="183594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23813</xdr:colOff>
      <xdr:row>9</xdr:row>
      <xdr:rowOff>73819</xdr:rowOff>
    </xdr:from>
    <xdr:to>
      <xdr:col>21</xdr:col>
      <xdr:colOff>30957</xdr:colOff>
      <xdr:row>22</xdr:row>
      <xdr:rowOff>121444</xdr:rowOff>
    </xdr:to>
    <mc:AlternateContent xmlns:mc="http://schemas.openxmlformats.org/markup-compatibility/2006">
      <mc:Choice xmlns:a14="http://schemas.microsoft.com/office/drawing/2010/main" Requires="a14">
        <xdr:graphicFrame macro="">
          <xdr:nvGraphicFramePr>
            <xdr:cNvPr id="11" name="Category"/>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1234738" y="1845469"/>
              <a:ext cx="1835944"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Raw_data"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w_data"/>
    </sheetNames>
    <sheetDataSet>
      <sheetData sheetId="0" refreshError="1"/>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DELL" refreshedDate="46274.374107291667" createdVersion="6" refreshedVersion="6" minRefreshableVersion="3" recordCount="100">
  <cacheSource type="worksheet">
    <worksheetSource name="Table1"/>
  </cacheSource>
  <cacheFields count="21">
    <cacheField name="Order_ID" numFmtId="0">
      <sharedItems containsSemiMixedTypes="0" containsString="0" containsNumber="1" containsInteger="1" minValue="1001" maxValue="1100"/>
    </cacheField>
    <cacheField name="Order_Date" numFmtId="164">
      <sharedItems containsSemiMixedTypes="0" containsNonDate="0" containsDate="1" containsString="0" minDate="2026-01-01T00:00:00" maxDate="2026-07-01T00:00:00"/>
    </cacheField>
    <cacheField name="Customer" numFmtId="0">
      <sharedItems count="10">
        <s v="Amit"/>
        <s v="Dev"/>
        <s v="Karan"/>
        <s v="Neha"/>
        <s v="Pooja"/>
        <s v="Priya"/>
        <s v="Rahul"/>
        <s v="Riya"/>
        <s v="Sanjay"/>
        <s v="Vivek"/>
      </sharedItems>
    </cacheField>
    <cacheField name="City" numFmtId="0">
      <sharedItems count="5">
        <s v="Ahmedabad"/>
        <s v="Navsari"/>
        <s v="Rajkot"/>
        <s v="Surat"/>
        <s v="Vadodara"/>
      </sharedItems>
    </cacheField>
    <cacheField name="Product" numFmtId="0">
      <sharedItems/>
    </cacheField>
    <cacheField name="Category" numFmtId="0">
      <sharedItems count="3">
        <s v="Electronics"/>
        <s v="Accessories"/>
        <s v="Furniture"/>
      </sharedItems>
    </cacheField>
    <cacheField name="Quantity" numFmtId="0">
      <sharedItems containsSemiMixedTypes="0" containsString="0" containsNumber="1" containsInteger="1" minValue="1" maxValue="10"/>
    </cacheField>
    <cacheField name="Unit_Price" numFmtId="0">
      <sharedItems containsSemiMixedTypes="0" containsString="0" containsNumber="1" containsInteger="1" minValue="250" maxValue="12000"/>
    </cacheField>
    <cacheField name="Discount_%" numFmtId="0">
      <sharedItems containsSemiMixedTypes="0" containsString="0" containsNumber="1" containsInteger="1" minValue="0" maxValue="20"/>
    </cacheField>
    <cacheField name="Sales_Person" numFmtId="0">
      <sharedItems count="5">
        <s v="Chirag"/>
        <s v="Anil"/>
        <s v="Esha"/>
        <s v="Bhavna"/>
        <s v="Deep"/>
      </sharedItems>
    </cacheField>
    <cacheField name="Payment_Mode" numFmtId="0">
      <sharedItems count="4">
        <s v="UPI"/>
        <s v="Cash"/>
        <s v="Net Banking"/>
        <s v="Card"/>
      </sharedItems>
    </cacheField>
    <cacheField name="Total_Sales" numFmtId="0">
      <sharedItems containsSemiMixedTypes="0" containsString="0" containsNumber="1" minValue="200" maxValue="114000" count="78">
        <n v="5700"/>
        <n v="8000"/>
        <n v="800"/>
        <n v="850"/>
        <n v="36000"/>
        <n v="1400"/>
        <n v="6375"/>
        <n v="10800"/>
        <n v="114000"/>
        <n v="950"/>
        <n v="1062.5"/>
        <n v="3200"/>
        <n v="4800"/>
        <n v="1275"/>
        <n v="5400"/>
        <n v="6000"/>
        <n v="25000"/>
        <n v="96000"/>
        <n v="3600"/>
        <n v="5950"/>
        <n v="102000"/>
        <n v="8100"/>
        <n v="450"/>
        <n v="4500"/>
        <n v="60000"/>
        <n v="15000"/>
        <n v="475"/>
        <n v="2400"/>
        <n v="11250"/>
        <n v="12750"/>
        <n v="67200"/>
        <n v="7500"/>
        <n v="25500"/>
        <n v="4462.5"/>
        <n v="2850"/>
        <n v="9600"/>
        <n v="8500"/>
        <n v="1800"/>
        <n v="91800"/>
        <n v="38250"/>
        <n v="11400"/>
        <n v="13500"/>
        <n v="1900"/>
        <n v="4050"/>
        <n v="7600"/>
        <n v="50000"/>
        <n v="3800"/>
        <n v="8400"/>
        <n v="64800"/>
        <n v="400"/>
        <n v="10000"/>
        <n v="30000"/>
        <n v="48000"/>
        <n v="2125"/>
        <n v="1600"/>
        <n v="2250"/>
        <n v="28500"/>
        <n v="1912.5"/>
        <n v="3825"/>
        <n v="2550"/>
        <n v="28000"/>
        <n v="22500"/>
        <n v="2500"/>
        <n v="18000"/>
        <n v="600"/>
        <n v="3150"/>
        <n v="4000"/>
        <n v="21250"/>
        <n v="1500"/>
        <n v="2025"/>
        <n v="4250"/>
        <n v="91200"/>
        <n v="54000"/>
        <n v="200"/>
        <n v="9500"/>
        <n v="19200"/>
        <n v="28800"/>
        <n v="5100"/>
      </sharedItems>
    </cacheField>
    <cacheField name="sales status " numFmtId="0">
      <sharedItems count="2">
        <s v="low sales"/>
        <s v="high sales"/>
      </sharedItems>
    </cacheField>
    <cacheField name="status" numFmtId="0">
      <sharedItems/>
    </cacheField>
    <cacheField name="bonus status" numFmtId="0">
      <sharedItems count="2">
        <s v="NO BONUS"/>
        <s v="BONUS"/>
      </sharedItems>
    </cacheField>
    <cacheField name="year" numFmtId="0">
      <sharedItems containsSemiMixedTypes="0" containsString="0" containsNumber="1" containsInteger="1" minValue="2026" maxValue="2026"/>
    </cacheField>
    <cacheField name="month no" numFmtId="0">
      <sharedItems containsSemiMixedTypes="0" containsString="0" containsNumber="1" containsInteger="1" minValue="1" maxValue="6"/>
    </cacheField>
    <cacheField name="month name " numFmtId="0">
      <sharedItems count="6">
        <s v="June"/>
        <s v="January"/>
        <s v="May"/>
        <s v="April"/>
        <s v="March"/>
        <s v="February"/>
      </sharedItems>
    </cacheField>
    <cacheField name="quarter" numFmtId="0">
      <sharedItems/>
    </cacheField>
    <cacheField name="day name " numFmtId="0">
      <sharedItems/>
    </cacheField>
    <cacheField name="week no" numFmtId="0">
      <sharedItems containsSemiMixedTypes="0" containsString="0" containsNumber="1" containsInteger="1" minValue="1" maxValue="27"/>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
  <r>
    <n v="1076"/>
    <d v="2026-06-03T00:00:00"/>
    <x v="0"/>
    <x v="0"/>
    <s v="Keyboard"/>
    <x v="0"/>
    <n v="8"/>
    <n v="750"/>
    <n v="5"/>
    <x v="0"/>
    <x v="0"/>
    <x v="0"/>
    <x v="0"/>
    <s v="LOW SALES"/>
    <x v="0"/>
    <n v="2026"/>
    <n v="6"/>
    <x v="0"/>
    <s v="Q2"/>
    <s v="Wednesday"/>
    <n v="23"/>
  </r>
  <r>
    <n v="1039"/>
    <d v="2026-01-06T00:00:00"/>
    <x v="0"/>
    <x v="0"/>
    <s v="Bottle"/>
    <x v="1"/>
    <n v="8"/>
    <n v="1000"/>
    <n v="0"/>
    <x v="0"/>
    <x v="0"/>
    <x v="1"/>
    <x v="0"/>
    <s v="average"/>
    <x v="0"/>
    <n v="2026"/>
    <n v="1"/>
    <x v="1"/>
    <s v="Q1"/>
    <s v="Tuesday"/>
    <n v="2"/>
  </r>
  <r>
    <n v="1022"/>
    <d v="2026-05-15T00:00:00"/>
    <x v="1"/>
    <x v="0"/>
    <s v="Laptop"/>
    <x v="0"/>
    <n v="2"/>
    <n v="500"/>
    <n v="20"/>
    <x v="1"/>
    <x v="1"/>
    <x v="2"/>
    <x v="0"/>
    <s v="LOW SALES"/>
    <x v="0"/>
    <n v="2026"/>
    <n v="5"/>
    <x v="2"/>
    <s v="Q2"/>
    <s v="Friday"/>
    <n v="20"/>
  </r>
  <r>
    <n v="1081"/>
    <d v="2026-04-17T00:00:00"/>
    <x v="1"/>
    <x v="0"/>
    <s v="Mouse"/>
    <x v="0"/>
    <n v="1"/>
    <n v="1000"/>
    <n v="15"/>
    <x v="1"/>
    <x v="1"/>
    <x v="3"/>
    <x v="0"/>
    <s v="LOW SALES"/>
    <x v="0"/>
    <n v="2026"/>
    <n v="4"/>
    <x v="3"/>
    <s v="Q2"/>
    <s v="Friday"/>
    <n v="16"/>
  </r>
  <r>
    <n v="1063"/>
    <d v="2026-06-08T00:00:00"/>
    <x v="1"/>
    <x v="0"/>
    <s v="Table"/>
    <x v="2"/>
    <n v="8"/>
    <n v="5000"/>
    <n v="10"/>
    <x v="2"/>
    <x v="2"/>
    <x v="4"/>
    <x v="1"/>
    <s v="good"/>
    <x v="0"/>
    <n v="2026"/>
    <n v="6"/>
    <x v="0"/>
    <s v="Q2"/>
    <s v="Monday"/>
    <n v="24"/>
  </r>
  <r>
    <n v="1015"/>
    <d v="2026-05-02T00:00:00"/>
    <x v="2"/>
    <x v="0"/>
    <s v="Chair"/>
    <x v="2"/>
    <n v="7"/>
    <n v="250"/>
    <n v="20"/>
    <x v="3"/>
    <x v="1"/>
    <x v="5"/>
    <x v="0"/>
    <s v="LOW SALES"/>
    <x v="0"/>
    <n v="2026"/>
    <n v="5"/>
    <x v="2"/>
    <s v="Q2"/>
    <s v="Saturday"/>
    <n v="18"/>
  </r>
  <r>
    <n v="1073"/>
    <d v="2026-01-07T00:00:00"/>
    <x v="2"/>
    <x v="0"/>
    <s v="Bag"/>
    <x v="1"/>
    <n v="3"/>
    <n v="2500"/>
    <n v="15"/>
    <x v="2"/>
    <x v="0"/>
    <x v="6"/>
    <x v="0"/>
    <s v="average"/>
    <x v="0"/>
    <n v="2026"/>
    <n v="1"/>
    <x v="1"/>
    <s v="Q1"/>
    <s v="Wednesday"/>
    <n v="2"/>
  </r>
  <r>
    <n v="1037"/>
    <d v="2026-03-17T00:00:00"/>
    <x v="3"/>
    <x v="0"/>
    <s v="Keyboard"/>
    <x v="0"/>
    <n v="8"/>
    <n v="1500"/>
    <n v="10"/>
    <x v="1"/>
    <x v="3"/>
    <x v="7"/>
    <x v="0"/>
    <s v="average"/>
    <x v="0"/>
    <n v="2026"/>
    <n v="3"/>
    <x v="4"/>
    <s v="Q1"/>
    <s v="Tuesday"/>
    <n v="12"/>
  </r>
  <r>
    <n v="1062"/>
    <d v="2026-04-08T00:00:00"/>
    <x v="3"/>
    <x v="0"/>
    <s v="Table"/>
    <x v="2"/>
    <n v="10"/>
    <n v="12000"/>
    <n v="5"/>
    <x v="0"/>
    <x v="3"/>
    <x v="8"/>
    <x v="1"/>
    <s v="good"/>
    <x v="0"/>
    <n v="2026"/>
    <n v="4"/>
    <x v="3"/>
    <s v="Q2"/>
    <s v="Wednesday"/>
    <n v="15"/>
  </r>
  <r>
    <n v="1027"/>
    <d v="2026-02-28T00:00:00"/>
    <x v="4"/>
    <x v="0"/>
    <s v="Bottle"/>
    <x v="1"/>
    <n v="2"/>
    <n v="500"/>
    <n v="5"/>
    <x v="4"/>
    <x v="3"/>
    <x v="9"/>
    <x v="0"/>
    <s v="LOW SALES"/>
    <x v="0"/>
    <n v="2026"/>
    <n v="2"/>
    <x v="5"/>
    <s v="Q1"/>
    <s v="Saturday"/>
    <n v="9"/>
  </r>
  <r>
    <n v="1083"/>
    <d v="2026-05-20T00:00:00"/>
    <x v="4"/>
    <x v="0"/>
    <s v="Keyboard"/>
    <x v="0"/>
    <n v="5"/>
    <n v="250"/>
    <n v="15"/>
    <x v="1"/>
    <x v="3"/>
    <x v="10"/>
    <x v="0"/>
    <s v="LOW SALES"/>
    <x v="0"/>
    <n v="2026"/>
    <n v="5"/>
    <x v="2"/>
    <s v="Q2"/>
    <s v="Wednesday"/>
    <n v="21"/>
  </r>
  <r>
    <n v="1008"/>
    <d v="2026-02-05T00:00:00"/>
    <x v="4"/>
    <x v="0"/>
    <s v="Keyboard"/>
    <x v="0"/>
    <n v="7"/>
    <n v="250"/>
    <n v="20"/>
    <x v="4"/>
    <x v="0"/>
    <x v="5"/>
    <x v="0"/>
    <s v="LOW SALES"/>
    <x v="0"/>
    <n v="2026"/>
    <n v="2"/>
    <x v="5"/>
    <s v="Q1"/>
    <s v="Thursday"/>
    <n v="6"/>
  </r>
  <r>
    <n v="1016"/>
    <d v="2026-06-04T00:00:00"/>
    <x v="4"/>
    <x v="0"/>
    <s v="Table"/>
    <x v="2"/>
    <n v="4"/>
    <n v="1000"/>
    <n v="20"/>
    <x v="0"/>
    <x v="1"/>
    <x v="11"/>
    <x v="0"/>
    <s v="LOW SALES"/>
    <x v="0"/>
    <n v="2026"/>
    <n v="6"/>
    <x v="0"/>
    <s v="Q2"/>
    <s v="Thursday"/>
    <n v="23"/>
  </r>
  <r>
    <n v="1011"/>
    <d v="2026-05-19T00:00:00"/>
    <x v="4"/>
    <x v="0"/>
    <s v="Chair"/>
    <x v="2"/>
    <n v="6"/>
    <n v="1000"/>
    <n v="20"/>
    <x v="1"/>
    <x v="3"/>
    <x v="12"/>
    <x v="0"/>
    <s v="LOW SALES"/>
    <x v="0"/>
    <n v="2026"/>
    <n v="5"/>
    <x v="2"/>
    <s v="Q2"/>
    <s v="Tuesday"/>
    <n v="21"/>
  </r>
  <r>
    <n v="1023"/>
    <d v="2026-06-23T00:00:00"/>
    <x v="5"/>
    <x v="0"/>
    <s v="Laptop"/>
    <x v="0"/>
    <n v="3"/>
    <n v="500"/>
    <n v="15"/>
    <x v="4"/>
    <x v="0"/>
    <x v="13"/>
    <x v="0"/>
    <s v="LOW SALES"/>
    <x v="0"/>
    <n v="2026"/>
    <n v="6"/>
    <x v="0"/>
    <s v="Q2"/>
    <s v="Tuesday"/>
    <n v="26"/>
  </r>
  <r>
    <n v="1021"/>
    <d v="2026-05-11T00:00:00"/>
    <x v="6"/>
    <x v="0"/>
    <s v="Bag"/>
    <x v="1"/>
    <n v="9"/>
    <n v="750"/>
    <n v="20"/>
    <x v="4"/>
    <x v="0"/>
    <x v="14"/>
    <x v="0"/>
    <s v="LOW SALES"/>
    <x v="0"/>
    <n v="2026"/>
    <n v="5"/>
    <x v="2"/>
    <s v="Q2"/>
    <s v="Monday"/>
    <n v="20"/>
  </r>
  <r>
    <n v="1074"/>
    <d v="2026-03-12T00:00:00"/>
    <x v="6"/>
    <x v="0"/>
    <s v="Mouse"/>
    <x v="0"/>
    <n v="8"/>
    <n v="750"/>
    <n v="0"/>
    <x v="4"/>
    <x v="3"/>
    <x v="15"/>
    <x v="0"/>
    <s v="average"/>
    <x v="0"/>
    <n v="2026"/>
    <n v="3"/>
    <x v="4"/>
    <s v="Q1"/>
    <s v="Thursday"/>
    <n v="11"/>
  </r>
  <r>
    <n v="1040"/>
    <d v="2026-01-22T00:00:00"/>
    <x v="6"/>
    <x v="0"/>
    <s v="Laptop"/>
    <x v="0"/>
    <n v="10"/>
    <n v="2500"/>
    <n v="0"/>
    <x v="4"/>
    <x v="3"/>
    <x v="16"/>
    <x v="1"/>
    <s v="good"/>
    <x v="0"/>
    <n v="2026"/>
    <n v="1"/>
    <x v="1"/>
    <s v="Q1"/>
    <s v="Thursday"/>
    <n v="4"/>
  </r>
  <r>
    <n v="1031"/>
    <d v="2026-05-12T00:00:00"/>
    <x v="6"/>
    <x v="0"/>
    <s v="Keyboard"/>
    <x v="0"/>
    <n v="8"/>
    <n v="12000"/>
    <n v="0"/>
    <x v="1"/>
    <x v="1"/>
    <x v="17"/>
    <x v="1"/>
    <s v="good"/>
    <x v="0"/>
    <n v="2026"/>
    <n v="5"/>
    <x v="2"/>
    <s v="Q2"/>
    <s v="Tuesday"/>
    <n v="20"/>
  </r>
  <r>
    <n v="1004"/>
    <d v="2026-05-20T00:00:00"/>
    <x v="7"/>
    <x v="0"/>
    <s v="Keyboard"/>
    <x v="0"/>
    <n v="8"/>
    <n v="500"/>
    <n v="10"/>
    <x v="2"/>
    <x v="0"/>
    <x v="18"/>
    <x v="0"/>
    <s v="LOW SALES"/>
    <x v="0"/>
    <n v="2026"/>
    <n v="5"/>
    <x v="2"/>
    <s v="Q2"/>
    <s v="Wednesday"/>
    <n v="21"/>
  </r>
  <r>
    <n v="1043"/>
    <d v="2026-04-16T00:00:00"/>
    <x v="7"/>
    <x v="0"/>
    <s v="Table"/>
    <x v="2"/>
    <n v="8"/>
    <n v="1000"/>
    <n v="0"/>
    <x v="0"/>
    <x v="3"/>
    <x v="1"/>
    <x v="0"/>
    <s v="average"/>
    <x v="0"/>
    <n v="2026"/>
    <n v="4"/>
    <x v="3"/>
    <s v="Q2"/>
    <s v="Thursday"/>
    <n v="16"/>
  </r>
  <r>
    <n v="1007"/>
    <d v="2026-01-12T00:00:00"/>
    <x v="8"/>
    <x v="0"/>
    <s v="Mouse"/>
    <x v="0"/>
    <n v="1"/>
    <n v="1000"/>
    <n v="20"/>
    <x v="3"/>
    <x v="3"/>
    <x v="2"/>
    <x v="0"/>
    <s v="LOW SALES"/>
    <x v="0"/>
    <n v="2026"/>
    <n v="1"/>
    <x v="1"/>
    <s v="Q1"/>
    <s v="Monday"/>
    <n v="3"/>
  </r>
  <r>
    <n v="1055"/>
    <d v="2026-04-10T00:00:00"/>
    <x v="8"/>
    <x v="0"/>
    <s v="Bag"/>
    <x v="1"/>
    <n v="7"/>
    <n v="1000"/>
    <n v="15"/>
    <x v="4"/>
    <x v="1"/>
    <x v="19"/>
    <x v="0"/>
    <s v="LOW SALES"/>
    <x v="0"/>
    <n v="2026"/>
    <n v="4"/>
    <x v="3"/>
    <s v="Q2"/>
    <s v="Friday"/>
    <n v="15"/>
  </r>
  <r>
    <n v="1088"/>
    <d v="2026-01-03T00:00:00"/>
    <x v="8"/>
    <x v="0"/>
    <s v="Table"/>
    <x v="2"/>
    <n v="10"/>
    <n v="12000"/>
    <n v="15"/>
    <x v="4"/>
    <x v="0"/>
    <x v="20"/>
    <x v="1"/>
    <s v="good"/>
    <x v="0"/>
    <n v="2026"/>
    <n v="1"/>
    <x v="1"/>
    <s v="Q1"/>
    <s v="Saturday"/>
    <n v="1"/>
  </r>
  <r>
    <n v="1003"/>
    <d v="2026-06-18T00:00:00"/>
    <x v="9"/>
    <x v="0"/>
    <s v="Bag"/>
    <x v="1"/>
    <n v="9"/>
    <n v="1000"/>
    <n v="10"/>
    <x v="3"/>
    <x v="3"/>
    <x v="21"/>
    <x v="0"/>
    <s v="average"/>
    <x v="0"/>
    <n v="2026"/>
    <n v="6"/>
    <x v="0"/>
    <s v="Q2"/>
    <s v="Thursday"/>
    <n v="25"/>
  </r>
  <r>
    <n v="1046"/>
    <d v="2026-01-04T00:00:00"/>
    <x v="2"/>
    <x v="1"/>
    <s v="Mouse"/>
    <x v="0"/>
    <n v="1"/>
    <n v="500"/>
    <n v="10"/>
    <x v="2"/>
    <x v="1"/>
    <x v="22"/>
    <x v="0"/>
    <s v="LOW SALES"/>
    <x v="0"/>
    <n v="2026"/>
    <n v="1"/>
    <x v="1"/>
    <s v="Q1"/>
    <s v="Sunday"/>
    <n v="2"/>
  </r>
  <r>
    <n v="1099"/>
    <d v="2026-02-17T00:00:00"/>
    <x v="2"/>
    <x v="1"/>
    <s v="Bag"/>
    <x v="1"/>
    <n v="5"/>
    <n v="1000"/>
    <n v="10"/>
    <x v="3"/>
    <x v="1"/>
    <x v="23"/>
    <x v="0"/>
    <s v="LOW SALES"/>
    <x v="0"/>
    <n v="2026"/>
    <n v="2"/>
    <x v="5"/>
    <s v="Q1"/>
    <s v="Tuesday"/>
    <n v="8"/>
  </r>
  <r>
    <n v="1095"/>
    <d v="2026-06-24T00:00:00"/>
    <x v="2"/>
    <x v="1"/>
    <s v="Table"/>
    <x v="2"/>
    <n v="5"/>
    <n v="12000"/>
    <n v="0"/>
    <x v="4"/>
    <x v="1"/>
    <x v="24"/>
    <x v="1"/>
    <s v="good"/>
    <x v="0"/>
    <n v="2026"/>
    <n v="6"/>
    <x v="0"/>
    <s v="Q2"/>
    <s v="Wednesday"/>
    <n v="26"/>
  </r>
  <r>
    <n v="1072"/>
    <d v="2026-01-16T00:00:00"/>
    <x v="3"/>
    <x v="1"/>
    <s v="Bottle"/>
    <x v="1"/>
    <n v="6"/>
    <n v="750"/>
    <n v="20"/>
    <x v="1"/>
    <x v="1"/>
    <x v="18"/>
    <x v="0"/>
    <s v="LOW SALES"/>
    <x v="0"/>
    <n v="2026"/>
    <n v="1"/>
    <x v="1"/>
    <s v="Q1"/>
    <s v="Friday"/>
    <n v="3"/>
  </r>
  <r>
    <n v="1080"/>
    <d v="2026-05-07T00:00:00"/>
    <x v="3"/>
    <x v="1"/>
    <s v="Bag"/>
    <x v="1"/>
    <n v="10"/>
    <n v="1500"/>
    <n v="0"/>
    <x v="4"/>
    <x v="1"/>
    <x v="25"/>
    <x v="0"/>
    <s v="good"/>
    <x v="0"/>
    <n v="2026"/>
    <n v="5"/>
    <x v="2"/>
    <s v="Q2"/>
    <s v="Thursday"/>
    <n v="19"/>
  </r>
  <r>
    <n v="1050"/>
    <d v="2026-05-21T00:00:00"/>
    <x v="4"/>
    <x v="1"/>
    <s v="Mouse"/>
    <x v="0"/>
    <n v="6"/>
    <n v="1000"/>
    <n v="20"/>
    <x v="3"/>
    <x v="3"/>
    <x v="12"/>
    <x v="0"/>
    <s v="LOW SALES"/>
    <x v="0"/>
    <n v="2026"/>
    <n v="5"/>
    <x v="2"/>
    <s v="Q2"/>
    <s v="Thursday"/>
    <n v="21"/>
  </r>
  <r>
    <n v="1059"/>
    <d v="2026-01-26T00:00:00"/>
    <x v="6"/>
    <x v="1"/>
    <s v="Keyboard"/>
    <x v="0"/>
    <n v="1"/>
    <n v="500"/>
    <n v="5"/>
    <x v="3"/>
    <x v="2"/>
    <x v="26"/>
    <x v="0"/>
    <s v="LOW SALES"/>
    <x v="0"/>
    <n v="2026"/>
    <n v="1"/>
    <x v="1"/>
    <s v="Q1"/>
    <s v="Monday"/>
    <n v="5"/>
  </r>
  <r>
    <n v="1087"/>
    <d v="2026-04-02T00:00:00"/>
    <x v="7"/>
    <x v="1"/>
    <s v="Chair"/>
    <x v="2"/>
    <n v="2"/>
    <n v="1500"/>
    <n v="20"/>
    <x v="1"/>
    <x v="1"/>
    <x v="27"/>
    <x v="0"/>
    <s v="LOW SALES"/>
    <x v="0"/>
    <n v="2026"/>
    <n v="4"/>
    <x v="3"/>
    <s v="Q2"/>
    <s v="Thursday"/>
    <n v="14"/>
  </r>
  <r>
    <n v="1030"/>
    <d v="2026-05-07T00:00:00"/>
    <x v="7"/>
    <x v="1"/>
    <s v="Bottle"/>
    <x v="1"/>
    <n v="5"/>
    <n v="1000"/>
    <n v="10"/>
    <x v="2"/>
    <x v="1"/>
    <x v="23"/>
    <x v="0"/>
    <s v="LOW SALES"/>
    <x v="0"/>
    <n v="2026"/>
    <n v="5"/>
    <x v="2"/>
    <s v="Q2"/>
    <s v="Thursday"/>
    <n v="19"/>
  </r>
  <r>
    <n v="1033"/>
    <d v="2026-03-30T00:00:00"/>
    <x v="7"/>
    <x v="1"/>
    <s v="Bag"/>
    <x v="1"/>
    <n v="5"/>
    <n v="2500"/>
    <n v="10"/>
    <x v="2"/>
    <x v="0"/>
    <x v="28"/>
    <x v="0"/>
    <s v="average"/>
    <x v="0"/>
    <n v="2026"/>
    <n v="3"/>
    <x v="4"/>
    <s v="Q1"/>
    <s v="Monday"/>
    <n v="14"/>
  </r>
  <r>
    <n v="1079"/>
    <d v="2026-04-07T00:00:00"/>
    <x v="7"/>
    <x v="1"/>
    <s v="Table"/>
    <x v="2"/>
    <n v="6"/>
    <n v="2500"/>
    <n v="15"/>
    <x v="4"/>
    <x v="2"/>
    <x v="29"/>
    <x v="0"/>
    <s v="good"/>
    <x v="0"/>
    <n v="2026"/>
    <n v="4"/>
    <x v="3"/>
    <s v="Q2"/>
    <s v="Tuesday"/>
    <n v="15"/>
  </r>
  <r>
    <n v="1082"/>
    <d v="2026-04-27T00:00:00"/>
    <x v="7"/>
    <x v="1"/>
    <s v="Bag"/>
    <x v="1"/>
    <n v="7"/>
    <n v="12000"/>
    <n v="20"/>
    <x v="0"/>
    <x v="0"/>
    <x v="30"/>
    <x v="1"/>
    <s v="good"/>
    <x v="0"/>
    <n v="2026"/>
    <n v="4"/>
    <x v="3"/>
    <s v="Q2"/>
    <s v="Monday"/>
    <n v="18"/>
  </r>
  <r>
    <n v="1001"/>
    <d v="2026-06-17T00:00:00"/>
    <x v="8"/>
    <x v="1"/>
    <s v="Chair"/>
    <x v="2"/>
    <n v="10"/>
    <n v="750"/>
    <n v="0"/>
    <x v="0"/>
    <x v="1"/>
    <x v="31"/>
    <x v="0"/>
    <s v="average"/>
    <x v="0"/>
    <n v="2026"/>
    <n v="6"/>
    <x v="0"/>
    <s v="Q2"/>
    <s v="Wednesday"/>
    <n v="25"/>
  </r>
  <r>
    <n v="1100"/>
    <d v="2026-05-22T00:00:00"/>
    <x v="8"/>
    <x v="1"/>
    <s v="Keyboard"/>
    <x v="0"/>
    <n v="6"/>
    <n v="5000"/>
    <n v="15"/>
    <x v="2"/>
    <x v="1"/>
    <x v="32"/>
    <x v="1"/>
    <s v="good"/>
    <x v="0"/>
    <n v="2026"/>
    <n v="5"/>
    <x v="2"/>
    <s v="Q2"/>
    <s v="Friday"/>
    <n v="21"/>
  </r>
  <r>
    <n v="1038"/>
    <d v="2026-01-21T00:00:00"/>
    <x v="9"/>
    <x v="1"/>
    <s v="Table"/>
    <x v="2"/>
    <n v="7"/>
    <n v="750"/>
    <n v="15"/>
    <x v="3"/>
    <x v="1"/>
    <x v="33"/>
    <x v="0"/>
    <s v="LOW SALES"/>
    <x v="0"/>
    <n v="2026"/>
    <n v="1"/>
    <x v="1"/>
    <s v="Q1"/>
    <s v="Wednesday"/>
    <n v="4"/>
  </r>
  <r>
    <n v="1064"/>
    <d v="2026-02-25T00:00:00"/>
    <x v="9"/>
    <x v="1"/>
    <s v="Table"/>
    <x v="2"/>
    <n v="6"/>
    <n v="2500"/>
    <n v="15"/>
    <x v="1"/>
    <x v="2"/>
    <x v="29"/>
    <x v="0"/>
    <s v="good"/>
    <x v="0"/>
    <n v="2026"/>
    <n v="2"/>
    <x v="5"/>
    <s v="Q1"/>
    <s v="Wednesday"/>
    <n v="9"/>
  </r>
  <r>
    <n v="1094"/>
    <d v="2026-06-02T00:00:00"/>
    <x v="0"/>
    <x v="2"/>
    <s v="Keyboard"/>
    <x v="0"/>
    <n v="2"/>
    <n v="1500"/>
    <n v="5"/>
    <x v="2"/>
    <x v="3"/>
    <x v="34"/>
    <x v="0"/>
    <s v="LOW SALES"/>
    <x v="0"/>
    <n v="2026"/>
    <n v="6"/>
    <x v="0"/>
    <s v="Q2"/>
    <s v="Tuesday"/>
    <n v="23"/>
  </r>
  <r>
    <n v="1054"/>
    <d v="2026-04-02T00:00:00"/>
    <x v="0"/>
    <x v="2"/>
    <s v="Chair"/>
    <x v="2"/>
    <n v="8"/>
    <n v="1500"/>
    <n v="20"/>
    <x v="2"/>
    <x v="1"/>
    <x v="35"/>
    <x v="0"/>
    <s v="average"/>
    <x v="0"/>
    <n v="2026"/>
    <n v="4"/>
    <x v="3"/>
    <s v="Q2"/>
    <s v="Thursday"/>
    <n v="14"/>
  </r>
  <r>
    <n v="1042"/>
    <d v="2026-02-16T00:00:00"/>
    <x v="1"/>
    <x v="2"/>
    <s v="Chair"/>
    <x v="2"/>
    <n v="8"/>
    <n v="750"/>
    <n v="20"/>
    <x v="4"/>
    <x v="0"/>
    <x v="12"/>
    <x v="0"/>
    <s v="LOW SALES"/>
    <x v="0"/>
    <n v="2026"/>
    <n v="2"/>
    <x v="5"/>
    <s v="Q1"/>
    <s v="Monday"/>
    <n v="8"/>
  </r>
  <r>
    <n v="1067"/>
    <d v="2026-02-09T00:00:00"/>
    <x v="1"/>
    <x v="2"/>
    <s v="Keyboard"/>
    <x v="0"/>
    <n v="9"/>
    <n v="750"/>
    <n v="20"/>
    <x v="3"/>
    <x v="2"/>
    <x v="14"/>
    <x v="0"/>
    <s v="LOW SALES"/>
    <x v="0"/>
    <n v="2026"/>
    <n v="2"/>
    <x v="5"/>
    <s v="Q1"/>
    <s v="Monday"/>
    <n v="7"/>
  </r>
  <r>
    <n v="1078"/>
    <d v="2026-05-15T00:00:00"/>
    <x v="1"/>
    <x v="2"/>
    <s v="Chair"/>
    <x v="2"/>
    <n v="10"/>
    <n v="12000"/>
    <n v="15"/>
    <x v="2"/>
    <x v="0"/>
    <x v="20"/>
    <x v="1"/>
    <s v="good"/>
    <x v="0"/>
    <n v="2026"/>
    <n v="5"/>
    <x v="2"/>
    <s v="Q2"/>
    <s v="Friday"/>
    <n v="20"/>
  </r>
  <r>
    <n v="1041"/>
    <d v="2026-05-26T00:00:00"/>
    <x v="2"/>
    <x v="2"/>
    <s v="Laptop"/>
    <x v="0"/>
    <n v="10"/>
    <n v="1000"/>
    <n v="15"/>
    <x v="4"/>
    <x v="3"/>
    <x v="36"/>
    <x v="0"/>
    <s v="average"/>
    <x v="0"/>
    <n v="2026"/>
    <n v="5"/>
    <x v="2"/>
    <s v="Q2"/>
    <s v="Tuesday"/>
    <n v="22"/>
  </r>
  <r>
    <n v="1014"/>
    <d v="2026-01-31T00:00:00"/>
    <x v="3"/>
    <x v="2"/>
    <s v="Chair"/>
    <x v="2"/>
    <n v="3"/>
    <n v="750"/>
    <n v="20"/>
    <x v="2"/>
    <x v="0"/>
    <x v="37"/>
    <x v="0"/>
    <s v="LOW SALES"/>
    <x v="0"/>
    <n v="2026"/>
    <n v="1"/>
    <x v="1"/>
    <s v="Q1"/>
    <s v="Saturday"/>
    <n v="5"/>
  </r>
  <r>
    <n v="1060"/>
    <d v="2026-04-15T00:00:00"/>
    <x v="3"/>
    <x v="2"/>
    <s v="Bottle"/>
    <x v="1"/>
    <n v="9"/>
    <n v="12000"/>
    <n v="15"/>
    <x v="0"/>
    <x v="1"/>
    <x v="38"/>
    <x v="1"/>
    <s v="good"/>
    <x v="0"/>
    <n v="2026"/>
    <n v="4"/>
    <x v="3"/>
    <s v="Q2"/>
    <s v="Wednesday"/>
    <n v="16"/>
  </r>
  <r>
    <n v="1090"/>
    <d v="2026-03-03T00:00:00"/>
    <x v="4"/>
    <x v="2"/>
    <s v="Laptop"/>
    <x v="0"/>
    <n v="9"/>
    <n v="5000"/>
    <n v="15"/>
    <x v="0"/>
    <x v="3"/>
    <x v="39"/>
    <x v="1"/>
    <s v="good"/>
    <x v="0"/>
    <n v="2026"/>
    <n v="3"/>
    <x v="4"/>
    <s v="Q1"/>
    <s v="Tuesday"/>
    <n v="10"/>
  </r>
  <r>
    <n v="1024"/>
    <d v="2026-06-22T00:00:00"/>
    <x v="5"/>
    <x v="2"/>
    <s v="Chair"/>
    <x v="2"/>
    <n v="5"/>
    <n v="250"/>
    <n v="15"/>
    <x v="0"/>
    <x v="2"/>
    <x v="10"/>
    <x v="0"/>
    <s v="LOW SALES"/>
    <x v="0"/>
    <n v="2026"/>
    <n v="6"/>
    <x v="0"/>
    <s v="Q2"/>
    <s v="Monday"/>
    <n v="26"/>
  </r>
  <r>
    <n v="1017"/>
    <d v="2026-06-14T00:00:00"/>
    <x v="5"/>
    <x v="2"/>
    <s v="Mouse"/>
    <x v="0"/>
    <n v="7"/>
    <n v="250"/>
    <n v="20"/>
    <x v="3"/>
    <x v="1"/>
    <x v="5"/>
    <x v="0"/>
    <s v="LOW SALES"/>
    <x v="0"/>
    <n v="2026"/>
    <n v="6"/>
    <x v="0"/>
    <s v="Q2"/>
    <s v="Sunday"/>
    <n v="25"/>
  </r>
  <r>
    <n v="1026"/>
    <d v="2026-06-07T00:00:00"/>
    <x v="5"/>
    <x v="2"/>
    <s v="Laptop"/>
    <x v="0"/>
    <n v="1"/>
    <n v="12000"/>
    <n v="5"/>
    <x v="1"/>
    <x v="1"/>
    <x v="40"/>
    <x v="0"/>
    <s v="average"/>
    <x v="0"/>
    <n v="2026"/>
    <n v="6"/>
    <x v="0"/>
    <s v="Q2"/>
    <s v="Sunday"/>
    <n v="24"/>
  </r>
  <r>
    <n v="1097"/>
    <d v="2026-03-10T00:00:00"/>
    <x v="5"/>
    <x v="2"/>
    <s v="Table"/>
    <x v="2"/>
    <n v="10"/>
    <n v="1500"/>
    <n v="10"/>
    <x v="2"/>
    <x v="2"/>
    <x v="41"/>
    <x v="0"/>
    <s v="good"/>
    <x v="0"/>
    <n v="2026"/>
    <n v="3"/>
    <x v="4"/>
    <s v="Q1"/>
    <s v="Tuesday"/>
    <n v="11"/>
  </r>
  <r>
    <n v="1013"/>
    <d v="2026-01-01T00:00:00"/>
    <x v="6"/>
    <x v="2"/>
    <s v="Mouse"/>
    <x v="0"/>
    <n v="2"/>
    <n v="1000"/>
    <n v="5"/>
    <x v="1"/>
    <x v="1"/>
    <x v="42"/>
    <x v="0"/>
    <s v="LOW SALES"/>
    <x v="0"/>
    <n v="2026"/>
    <n v="1"/>
    <x v="1"/>
    <s v="Q1"/>
    <s v="Thursday"/>
    <n v="1"/>
  </r>
  <r>
    <n v="1010"/>
    <d v="2026-06-28T00:00:00"/>
    <x v="6"/>
    <x v="2"/>
    <s v="Bottle"/>
    <x v="1"/>
    <n v="6"/>
    <n v="750"/>
    <n v="10"/>
    <x v="2"/>
    <x v="0"/>
    <x v="43"/>
    <x v="0"/>
    <s v="LOW SALES"/>
    <x v="0"/>
    <n v="2026"/>
    <n v="6"/>
    <x v="0"/>
    <s v="Q2"/>
    <s v="Sunday"/>
    <n v="27"/>
  </r>
  <r>
    <n v="1009"/>
    <d v="2026-04-21T00:00:00"/>
    <x v="6"/>
    <x v="2"/>
    <s v="Mouse"/>
    <x v="0"/>
    <n v="8"/>
    <n v="1000"/>
    <n v="5"/>
    <x v="4"/>
    <x v="2"/>
    <x v="44"/>
    <x v="0"/>
    <s v="average"/>
    <x v="0"/>
    <n v="2026"/>
    <n v="4"/>
    <x v="3"/>
    <s v="Q2"/>
    <s v="Tuesday"/>
    <n v="17"/>
  </r>
  <r>
    <n v="1065"/>
    <d v="2026-01-18T00:00:00"/>
    <x v="7"/>
    <x v="2"/>
    <s v="Laptop"/>
    <x v="0"/>
    <n v="10"/>
    <n v="5000"/>
    <n v="0"/>
    <x v="0"/>
    <x v="2"/>
    <x v="45"/>
    <x v="1"/>
    <s v="good"/>
    <x v="0"/>
    <n v="2026"/>
    <n v="1"/>
    <x v="1"/>
    <s v="Q1"/>
    <s v="Sunday"/>
    <n v="4"/>
  </r>
  <r>
    <n v="1018"/>
    <d v="2026-06-30T00:00:00"/>
    <x v="9"/>
    <x v="2"/>
    <s v="Chair"/>
    <x v="2"/>
    <n v="8"/>
    <n v="500"/>
    <n v="5"/>
    <x v="3"/>
    <x v="0"/>
    <x v="46"/>
    <x v="0"/>
    <s v="LOW SALES"/>
    <x v="0"/>
    <n v="2026"/>
    <n v="6"/>
    <x v="0"/>
    <s v="Q2"/>
    <s v="Tuesday"/>
    <n v="27"/>
  </r>
  <r>
    <n v="1012"/>
    <d v="2026-06-13T00:00:00"/>
    <x v="0"/>
    <x v="3"/>
    <s v="Table"/>
    <x v="2"/>
    <n v="7"/>
    <n v="1500"/>
    <n v="20"/>
    <x v="4"/>
    <x v="3"/>
    <x v="47"/>
    <x v="0"/>
    <s v="average"/>
    <x v="0"/>
    <n v="2026"/>
    <n v="6"/>
    <x v="0"/>
    <s v="Q2"/>
    <s v="Saturday"/>
    <n v="24"/>
  </r>
  <r>
    <n v="1057"/>
    <d v="2026-02-04T00:00:00"/>
    <x v="1"/>
    <x v="3"/>
    <s v="Laptop"/>
    <x v="0"/>
    <n v="6"/>
    <n v="12000"/>
    <n v="10"/>
    <x v="2"/>
    <x v="0"/>
    <x v="48"/>
    <x v="1"/>
    <s v="good"/>
    <x v="1"/>
    <n v="2026"/>
    <n v="2"/>
    <x v="5"/>
    <s v="Q1"/>
    <s v="Wednesday"/>
    <n v="6"/>
  </r>
  <r>
    <n v="1019"/>
    <d v="2026-03-21T00:00:00"/>
    <x v="2"/>
    <x v="3"/>
    <s v="Bottle"/>
    <x v="1"/>
    <n v="1"/>
    <n v="500"/>
    <n v="20"/>
    <x v="1"/>
    <x v="3"/>
    <x v="49"/>
    <x v="0"/>
    <s v="LOW SALES"/>
    <x v="0"/>
    <n v="2026"/>
    <n v="3"/>
    <x v="4"/>
    <s v="Q1"/>
    <s v="Saturday"/>
    <n v="12"/>
  </r>
  <r>
    <n v="1002"/>
    <d v="2026-02-08T00:00:00"/>
    <x v="2"/>
    <x v="3"/>
    <s v="Laptop"/>
    <x v="0"/>
    <n v="5"/>
    <n v="5000"/>
    <n v="0"/>
    <x v="2"/>
    <x v="1"/>
    <x v="16"/>
    <x v="1"/>
    <s v="good"/>
    <x v="1"/>
    <n v="2026"/>
    <n v="2"/>
    <x v="5"/>
    <s v="Q1"/>
    <s v="Sunday"/>
    <n v="7"/>
  </r>
  <r>
    <n v="1098"/>
    <d v="2026-01-05T00:00:00"/>
    <x v="3"/>
    <x v="3"/>
    <s v="Keyboard"/>
    <x v="0"/>
    <n v="5"/>
    <n v="2500"/>
    <n v="20"/>
    <x v="2"/>
    <x v="0"/>
    <x v="50"/>
    <x v="0"/>
    <s v="average"/>
    <x v="1"/>
    <n v="2026"/>
    <n v="1"/>
    <x v="1"/>
    <s v="Q1"/>
    <s v="Monday"/>
    <n v="2"/>
  </r>
  <r>
    <n v="1052"/>
    <d v="2026-02-14T00:00:00"/>
    <x v="3"/>
    <x v="3"/>
    <s v="Mouse"/>
    <x v="0"/>
    <n v="6"/>
    <n v="5000"/>
    <n v="0"/>
    <x v="4"/>
    <x v="0"/>
    <x v="51"/>
    <x v="1"/>
    <s v="good"/>
    <x v="1"/>
    <n v="2026"/>
    <n v="2"/>
    <x v="5"/>
    <s v="Q1"/>
    <s v="Saturday"/>
    <n v="7"/>
  </r>
  <r>
    <n v="1034"/>
    <d v="2026-06-04T00:00:00"/>
    <x v="3"/>
    <x v="3"/>
    <s v="Mouse"/>
    <x v="0"/>
    <n v="4"/>
    <n v="12000"/>
    <n v="0"/>
    <x v="3"/>
    <x v="2"/>
    <x v="52"/>
    <x v="1"/>
    <s v="good"/>
    <x v="1"/>
    <n v="2026"/>
    <n v="6"/>
    <x v="0"/>
    <s v="Q2"/>
    <s v="Thursday"/>
    <n v="23"/>
  </r>
  <r>
    <n v="1035"/>
    <d v="2026-01-27T00:00:00"/>
    <x v="4"/>
    <x v="3"/>
    <s v="Table"/>
    <x v="2"/>
    <n v="1"/>
    <n v="2500"/>
    <n v="15"/>
    <x v="3"/>
    <x v="0"/>
    <x v="53"/>
    <x v="0"/>
    <s v="LOW SALES"/>
    <x v="0"/>
    <n v="2026"/>
    <n v="1"/>
    <x v="1"/>
    <s v="Q1"/>
    <s v="Tuesday"/>
    <n v="5"/>
  </r>
  <r>
    <n v="1053"/>
    <d v="2026-03-25T00:00:00"/>
    <x v="4"/>
    <x v="3"/>
    <s v="Mouse"/>
    <x v="0"/>
    <n v="4"/>
    <n v="1500"/>
    <n v="0"/>
    <x v="1"/>
    <x v="1"/>
    <x v="15"/>
    <x v="0"/>
    <s v="average"/>
    <x v="0"/>
    <n v="2026"/>
    <n v="3"/>
    <x v="4"/>
    <s v="Q1"/>
    <s v="Wednesday"/>
    <n v="13"/>
  </r>
  <r>
    <n v="1025"/>
    <d v="2026-04-13T00:00:00"/>
    <x v="5"/>
    <x v="3"/>
    <s v="Laptop"/>
    <x v="0"/>
    <n v="4"/>
    <n v="500"/>
    <n v="20"/>
    <x v="0"/>
    <x v="2"/>
    <x v="54"/>
    <x v="0"/>
    <s v="LOW SALES"/>
    <x v="0"/>
    <n v="2026"/>
    <n v="4"/>
    <x v="3"/>
    <s v="Q2"/>
    <s v="Monday"/>
    <n v="16"/>
  </r>
  <r>
    <n v="1091"/>
    <d v="2026-03-29T00:00:00"/>
    <x v="5"/>
    <x v="3"/>
    <s v="Bag"/>
    <x v="1"/>
    <n v="5"/>
    <n v="500"/>
    <n v="10"/>
    <x v="4"/>
    <x v="0"/>
    <x v="55"/>
    <x v="0"/>
    <s v="LOW SALES"/>
    <x v="0"/>
    <n v="2026"/>
    <n v="3"/>
    <x v="4"/>
    <s v="Q1"/>
    <s v="Sunday"/>
    <n v="14"/>
  </r>
  <r>
    <n v="1071"/>
    <d v="2026-03-17T00:00:00"/>
    <x v="5"/>
    <x v="3"/>
    <s v="Table"/>
    <x v="2"/>
    <n v="6"/>
    <n v="5000"/>
    <n v="5"/>
    <x v="1"/>
    <x v="0"/>
    <x v="56"/>
    <x v="1"/>
    <s v="good"/>
    <x v="1"/>
    <n v="2026"/>
    <n v="3"/>
    <x v="4"/>
    <s v="Q1"/>
    <s v="Tuesday"/>
    <n v="12"/>
  </r>
  <r>
    <n v="1077"/>
    <d v="2026-06-22T00:00:00"/>
    <x v="6"/>
    <x v="3"/>
    <s v="Table"/>
    <x v="2"/>
    <n v="9"/>
    <n v="250"/>
    <n v="15"/>
    <x v="1"/>
    <x v="3"/>
    <x v="57"/>
    <x v="0"/>
    <s v="LOW SALES"/>
    <x v="0"/>
    <n v="2026"/>
    <n v="6"/>
    <x v="0"/>
    <s v="Q2"/>
    <s v="Monday"/>
    <n v="26"/>
  </r>
  <r>
    <n v="1058"/>
    <d v="2026-06-13T00:00:00"/>
    <x v="6"/>
    <x v="3"/>
    <s v="Mouse"/>
    <x v="0"/>
    <n v="9"/>
    <n v="500"/>
    <n v="15"/>
    <x v="1"/>
    <x v="2"/>
    <x v="58"/>
    <x v="0"/>
    <s v="LOW SALES"/>
    <x v="0"/>
    <n v="2026"/>
    <n v="6"/>
    <x v="0"/>
    <s v="Q2"/>
    <s v="Saturday"/>
    <n v="24"/>
  </r>
  <r>
    <n v="1061"/>
    <d v="2026-03-02T00:00:00"/>
    <x v="7"/>
    <x v="3"/>
    <s v="Chair"/>
    <x v="2"/>
    <n v="3"/>
    <n v="1000"/>
    <n v="15"/>
    <x v="2"/>
    <x v="0"/>
    <x v="59"/>
    <x v="0"/>
    <s v="LOW SALES"/>
    <x v="0"/>
    <n v="2026"/>
    <n v="3"/>
    <x v="4"/>
    <s v="Q1"/>
    <s v="Monday"/>
    <n v="10"/>
  </r>
  <r>
    <n v="1075"/>
    <d v="2026-01-23T00:00:00"/>
    <x v="7"/>
    <x v="3"/>
    <s v="Chair"/>
    <x v="2"/>
    <n v="7"/>
    <n v="5000"/>
    <n v="20"/>
    <x v="0"/>
    <x v="1"/>
    <x v="60"/>
    <x v="1"/>
    <s v="good"/>
    <x v="1"/>
    <n v="2026"/>
    <n v="1"/>
    <x v="1"/>
    <s v="Q1"/>
    <s v="Friday"/>
    <n v="4"/>
  </r>
  <r>
    <n v="1029"/>
    <d v="2026-02-08T00:00:00"/>
    <x v="8"/>
    <x v="3"/>
    <s v="Keyboard"/>
    <x v="0"/>
    <n v="7"/>
    <n v="750"/>
    <n v="15"/>
    <x v="2"/>
    <x v="0"/>
    <x v="33"/>
    <x v="0"/>
    <s v="LOW SALES"/>
    <x v="0"/>
    <n v="2026"/>
    <n v="2"/>
    <x v="5"/>
    <s v="Q1"/>
    <s v="Sunday"/>
    <n v="7"/>
  </r>
  <r>
    <n v="1089"/>
    <d v="2026-06-28T00:00:00"/>
    <x v="8"/>
    <x v="3"/>
    <s v="Bottle"/>
    <x v="1"/>
    <n v="10"/>
    <n v="750"/>
    <n v="0"/>
    <x v="3"/>
    <x v="1"/>
    <x v="31"/>
    <x v="0"/>
    <s v="average"/>
    <x v="0"/>
    <n v="2026"/>
    <n v="6"/>
    <x v="0"/>
    <s v="Q2"/>
    <s v="Sunday"/>
    <n v="27"/>
  </r>
  <r>
    <n v="1048"/>
    <d v="2026-03-01T00:00:00"/>
    <x v="8"/>
    <x v="3"/>
    <s v="Table"/>
    <x v="2"/>
    <n v="5"/>
    <n v="5000"/>
    <n v="10"/>
    <x v="2"/>
    <x v="3"/>
    <x v="61"/>
    <x v="1"/>
    <s v="good"/>
    <x v="1"/>
    <n v="2026"/>
    <n v="3"/>
    <x v="4"/>
    <s v="Q1"/>
    <s v="Sunday"/>
    <n v="10"/>
  </r>
  <r>
    <n v="1036"/>
    <d v="2026-03-10T00:00:00"/>
    <x v="9"/>
    <x v="3"/>
    <s v="Chair"/>
    <x v="2"/>
    <n v="1"/>
    <n v="2500"/>
    <n v="0"/>
    <x v="0"/>
    <x v="3"/>
    <x v="62"/>
    <x v="0"/>
    <s v="LOW SALES"/>
    <x v="0"/>
    <n v="2026"/>
    <n v="3"/>
    <x v="4"/>
    <s v="Q1"/>
    <s v="Tuesday"/>
    <n v="11"/>
  </r>
  <r>
    <n v="1032"/>
    <d v="2026-01-15T00:00:00"/>
    <x v="9"/>
    <x v="3"/>
    <s v="Keyboard"/>
    <x v="0"/>
    <n v="3"/>
    <n v="1500"/>
    <n v="0"/>
    <x v="2"/>
    <x v="2"/>
    <x v="23"/>
    <x v="0"/>
    <s v="LOW SALES"/>
    <x v="0"/>
    <n v="2026"/>
    <n v="1"/>
    <x v="1"/>
    <s v="Q1"/>
    <s v="Thursday"/>
    <n v="3"/>
  </r>
  <r>
    <n v="1070"/>
    <d v="2026-06-20T00:00:00"/>
    <x v="0"/>
    <x v="4"/>
    <s v="Chair"/>
    <x v="2"/>
    <n v="9"/>
    <n v="2500"/>
    <n v="20"/>
    <x v="3"/>
    <x v="0"/>
    <x v="63"/>
    <x v="0"/>
    <s v="good"/>
    <x v="0"/>
    <n v="2026"/>
    <n v="6"/>
    <x v="0"/>
    <s v="Q2"/>
    <s v="Saturday"/>
    <n v="25"/>
  </r>
  <r>
    <n v="1045"/>
    <d v="2026-03-09T00:00:00"/>
    <x v="1"/>
    <x v="4"/>
    <s v="Table"/>
    <x v="2"/>
    <n v="3"/>
    <n v="250"/>
    <n v="20"/>
    <x v="0"/>
    <x v="2"/>
    <x v="64"/>
    <x v="0"/>
    <s v="LOW SALES"/>
    <x v="0"/>
    <n v="2026"/>
    <n v="3"/>
    <x v="4"/>
    <s v="Q1"/>
    <s v="Monday"/>
    <n v="11"/>
  </r>
  <r>
    <n v="1093"/>
    <d v="2026-05-07T00:00:00"/>
    <x v="2"/>
    <x v="4"/>
    <s v="Table"/>
    <x v="2"/>
    <n v="7"/>
    <n v="500"/>
    <n v="10"/>
    <x v="2"/>
    <x v="2"/>
    <x v="65"/>
    <x v="0"/>
    <s v="LOW SALES"/>
    <x v="0"/>
    <n v="2026"/>
    <n v="5"/>
    <x v="2"/>
    <s v="Q2"/>
    <s v="Thursday"/>
    <n v="19"/>
  </r>
  <r>
    <n v="1066"/>
    <d v="2026-01-06T00:00:00"/>
    <x v="3"/>
    <x v="4"/>
    <s v="Laptop"/>
    <x v="0"/>
    <n v="5"/>
    <n v="250"/>
    <n v="15"/>
    <x v="1"/>
    <x v="1"/>
    <x v="10"/>
    <x v="0"/>
    <s v="LOW SALES"/>
    <x v="0"/>
    <n v="2026"/>
    <n v="1"/>
    <x v="1"/>
    <s v="Q1"/>
    <s v="Tuesday"/>
    <n v="2"/>
  </r>
  <r>
    <n v="1020"/>
    <d v="2026-03-28T00:00:00"/>
    <x v="3"/>
    <x v="4"/>
    <s v="Chair"/>
    <x v="2"/>
    <n v="8"/>
    <n v="500"/>
    <n v="0"/>
    <x v="1"/>
    <x v="2"/>
    <x v="66"/>
    <x v="0"/>
    <s v="LOW SALES"/>
    <x v="0"/>
    <n v="2026"/>
    <n v="3"/>
    <x v="4"/>
    <s v="Q1"/>
    <s v="Saturday"/>
    <n v="13"/>
  </r>
  <r>
    <n v="1086"/>
    <d v="2026-02-14T00:00:00"/>
    <x v="3"/>
    <x v="4"/>
    <s v="Bag"/>
    <x v="1"/>
    <n v="10"/>
    <n v="2500"/>
    <n v="15"/>
    <x v="3"/>
    <x v="2"/>
    <x v="67"/>
    <x v="1"/>
    <s v="good"/>
    <x v="0"/>
    <n v="2026"/>
    <n v="2"/>
    <x v="5"/>
    <s v="Q1"/>
    <s v="Saturday"/>
    <n v="7"/>
  </r>
  <r>
    <n v="1085"/>
    <d v="2026-06-22T00:00:00"/>
    <x v="4"/>
    <x v="4"/>
    <s v="Laptop"/>
    <x v="0"/>
    <n v="2"/>
    <n v="750"/>
    <n v="15"/>
    <x v="0"/>
    <x v="3"/>
    <x v="13"/>
    <x v="0"/>
    <s v="LOW SALES"/>
    <x v="0"/>
    <n v="2026"/>
    <n v="6"/>
    <x v="0"/>
    <s v="Q2"/>
    <s v="Monday"/>
    <n v="26"/>
  </r>
  <r>
    <n v="1084"/>
    <d v="2026-03-07T00:00:00"/>
    <x v="4"/>
    <x v="4"/>
    <s v="Bag"/>
    <x v="1"/>
    <n v="1"/>
    <n v="1500"/>
    <n v="0"/>
    <x v="1"/>
    <x v="2"/>
    <x v="68"/>
    <x v="0"/>
    <s v="LOW SALES"/>
    <x v="0"/>
    <n v="2026"/>
    <n v="3"/>
    <x v="4"/>
    <s v="Q1"/>
    <s v="Saturday"/>
    <n v="10"/>
  </r>
  <r>
    <n v="1056"/>
    <d v="2026-01-18T00:00:00"/>
    <x v="4"/>
    <x v="4"/>
    <s v="Mouse"/>
    <x v="0"/>
    <n v="3"/>
    <n v="750"/>
    <n v="10"/>
    <x v="4"/>
    <x v="2"/>
    <x v="69"/>
    <x v="0"/>
    <s v="LOW SALES"/>
    <x v="0"/>
    <n v="2026"/>
    <n v="1"/>
    <x v="1"/>
    <s v="Q1"/>
    <s v="Sunday"/>
    <n v="4"/>
  </r>
  <r>
    <n v="1028"/>
    <d v="2026-06-12T00:00:00"/>
    <x v="4"/>
    <x v="4"/>
    <s v="Bottle"/>
    <x v="1"/>
    <n v="2"/>
    <n v="2500"/>
    <n v="15"/>
    <x v="4"/>
    <x v="2"/>
    <x v="70"/>
    <x v="0"/>
    <s v="LOW SALES"/>
    <x v="0"/>
    <n v="2026"/>
    <n v="6"/>
    <x v="0"/>
    <s v="Q2"/>
    <s v="Friday"/>
    <n v="24"/>
  </r>
  <r>
    <n v="1051"/>
    <d v="2026-01-02T00:00:00"/>
    <x v="4"/>
    <x v="4"/>
    <s v="Bottle"/>
    <x v="1"/>
    <n v="10"/>
    <n v="2500"/>
    <n v="10"/>
    <x v="4"/>
    <x v="2"/>
    <x v="61"/>
    <x v="1"/>
    <s v="good"/>
    <x v="0"/>
    <n v="2026"/>
    <n v="1"/>
    <x v="1"/>
    <s v="Q1"/>
    <s v="Friday"/>
    <n v="1"/>
  </r>
  <r>
    <n v="1069"/>
    <d v="2026-04-06T00:00:00"/>
    <x v="4"/>
    <x v="4"/>
    <s v="Chair"/>
    <x v="2"/>
    <n v="8"/>
    <n v="12000"/>
    <n v="5"/>
    <x v="3"/>
    <x v="1"/>
    <x v="71"/>
    <x v="1"/>
    <s v="good"/>
    <x v="0"/>
    <n v="2026"/>
    <n v="4"/>
    <x v="3"/>
    <s v="Q2"/>
    <s v="Monday"/>
    <n v="15"/>
  </r>
  <r>
    <n v="1047"/>
    <d v="2026-03-08T00:00:00"/>
    <x v="5"/>
    <x v="4"/>
    <s v="Mouse"/>
    <x v="0"/>
    <n v="5"/>
    <n v="12000"/>
    <n v="10"/>
    <x v="4"/>
    <x v="2"/>
    <x v="72"/>
    <x v="1"/>
    <s v="good"/>
    <x v="0"/>
    <n v="2026"/>
    <n v="3"/>
    <x v="4"/>
    <s v="Q1"/>
    <s v="Sunday"/>
    <n v="11"/>
  </r>
  <r>
    <n v="1005"/>
    <d v="2026-03-31T00:00:00"/>
    <x v="6"/>
    <x v="4"/>
    <s v="Mouse"/>
    <x v="0"/>
    <n v="1"/>
    <n v="250"/>
    <n v="20"/>
    <x v="3"/>
    <x v="3"/>
    <x v="73"/>
    <x v="0"/>
    <s v="LOW SALES"/>
    <x v="0"/>
    <n v="2026"/>
    <n v="3"/>
    <x v="4"/>
    <s v="Q1"/>
    <s v="Tuesday"/>
    <n v="14"/>
  </r>
  <r>
    <n v="1044"/>
    <d v="2026-06-28T00:00:00"/>
    <x v="6"/>
    <x v="4"/>
    <s v="Table"/>
    <x v="2"/>
    <n v="10"/>
    <n v="250"/>
    <n v="10"/>
    <x v="1"/>
    <x v="2"/>
    <x v="55"/>
    <x v="0"/>
    <s v="LOW SALES"/>
    <x v="0"/>
    <n v="2026"/>
    <n v="6"/>
    <x v="0"/>
    <s v="Q2"/>
    <s v="Sunday"/>
    <n v="27"/>
  </r>
  <r>
    <n v="1096"/>
    <d v="2026-03-28T00:00:00"/>
    <x v="6"/>
    <x v="4"/>
    <s v="Bottle"/>
    <x v="1"/>
    <n v="2"/>
    <n v="5000"/>
    <n v="5"/>
    <x v="0"/>
    <x v="3"/>
    <x v="74"/>
    <x v="0"/>
    <s v="average"/>
    <x v="0"/>
    <n v="2026"/>
    <n v="3"/>
    <x v="4"/>
    <s v="Q1"/>
    <s v="Saturday"/>
    <n v="13"/>
  </r>
  <r>
    <n v="1006"/>
    <d v="2026-03-04T00:00:00"/>
    <x v="6"/>
    <x v="4"/>
    <s v="Laptop"/>
    <x v="0"/>
    <n v="2"/>
    <n v="12000"/>
    <n v="20"/>
    <x v="1"/>
    <x v="3"/>
    <x v="75"/>
    <x v="0"/>
    <s v="good"/>
    <x v="0"/>
    <n v="2026"/>
    <n v="3"/>
    <x v="4"/>
    <s v="Q1"/>
    <s v="Wednesday"/>
    <n v="10"/>
  </r>
  <r>
    <n v="1068"/>
    <d v="2026-04-05T00:00:00"/>
    <x v="6"/>
    <x v="4"/>
    <s v="Bottle"/>
    <x v="1"/>
    <n v="3"/>
    <n v="12000"/>
    <n v="20"/>
    <x v="1"/>
    <x v="3"/>
    <x v="76"/>
    <x v="1"/>
    <s v="good"/>
    <x v="0"/>
    <n v="2026"/>
    <n v="4"/>
    <x v="3"/>
    <s v="Q2"/>
    <s v="Sunday"/>
    <n v="15"/>
  </r>
  <r>
    <n v="1092"/>
    <d v="2026-06-16T00:00:00"/>
    <x v="6"/>
    <x v="4"/>
    <s v="Mouse"/>
    <x v="0"/>
    <n v="6"/>
    <n v="12000"/>
    <n v="10"/>
    <x v="1"/>
    <x v="3"/>
    <x v="48"/>
    <x v="1"/>
    <s v="good"/>
    <x v="0"/>
    <n v="2026"/>
    <n v="6"/>
    <x v="0"/>
    <s v="Q2"/>
    <s v="Tuesday"/>
    <n v="25"/>
  </r>
  <r>
    <n v="1049"/>
    <d v="2026-03-25T00:00:00"/>
    <x v="8"/>
    <x v="4"/>
    <s v="Bag"/>
    <x v="1"/>
    <n v="8"/>
    <n v="750"/>
    <n v="15"/>
    <x v="0"/>
    <x v="1"/>
    <x v="77"/>
    <x v="0"/>
    <s v="LOW SALES"/>
    <x v="0"/>
    <n v="2026"/>
    <n v="3"/>
    <x v="4"/>
    <s v="Q1"/>
    <s v="Wednesday"/>
    <n v="1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T_Categor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10:B14" firstHeaderRow="1" firstDataRow="1" firstDataCol="1"/>
  <pivotFields count="21">
    <pivotField showAll="0"/>
    <pivotField numFmtId="164" showAll="0"/>
    <pivotField showAll="0"/>
    <pivotField showAll="0">
      <items count="6">
        <item x="0"/>
        <item x="1"/>
        <item x="2"/>
        <item x="3"/>
        <item x="4"/>
        <item t="default"/>
      </items>
    </pivotField>
    <pivotField showAll="0"/>
    <pivotField axis="axisRow" showAll="0">
      <items count="4">
        <item x="1"/>
        <item x="0"/>
        <item x="2"/>
        <item t="default"/>
      </items>
    </pivotField>
    <pivotField showAll="0"/>
    <pivotField showAll="0"/>
    <pivotField showAll="0"/>
    <pivotField showAll="0"/>
    <pivotField showAll="0">
      <items count="5">
        <item x="3"/>
        <item x="1"/>
        <item x="2"/>
        <item x="0"/>
        <item t="default"/>
      </items>
    </pivotField>
    <pivotField dataField="1" showAll="0">
      <items count="79">
        <item x="73"/>
        <item x="49"/>
        <item x="22"/>
        <item x="26"/>
        <item x="64"/>
        <item x="2"/>
        <item x="3"/>
        <item x="9"/>
        <item x="10"/>
        <item x="13"/>
        <item x="5"/>
        <item x="68"/>
        <item x="54"/>
        <item x="37"/>
        <item x="42"/>
        <item x="57"/>
        <item x="69"/>
        <item x="53"/>
        <item x="55"/>
        <item x="27"/>
        <item x="62"/>
        <item x="59"/>
        <item x="34"/>
        <item x="65"/>
        <item x="11"/>
        <item x="18"/>
        <item x="46"/>
        <item x="58"/>
        <item x="66"/>
        <item x="43"/>
        <item x="70"/>
        <item x="33"/>
        <item x="23"/>
        <item x="12"/>
        <item x="77"/>
        <item x="14"/>
        <item x="0"/>
        <item x="19"/>
        <item x="15"/>
        <item x="6"/>
        <item x="31"/>
        <item x="44"/>
        <item x="1"/>
        <item x="21"/>
        <item x="47"/>
        <item x="36"/>
        <item x="74"/>
        <item x="35"/>
        <item x="50"/>
        <item x="7"/>
        <item x="28"/>
        <item x="40"/>
        <item x="29"/>
        <item x="41"/>
        <item x="25"/>
        <item x="63"/>
        <item x="75"/>
        <item x="67"/>
        <item x="61"/>
        <item x="16"/>
        <item x="32"/>
        <item x="60"/>
        <item x="56"/>
        <item x="76"/>
        <item x="51"/>
        <item x="4"/>
        <item x="39"/>
        <item x="52"/>
        <item x="45"/>
        <item x="72"/>
        <item x="24"/>
        <item x="48"/>
        <item x="30"/>
        <item x="71"/>
        <item x="38"/>
        <item x="17"/>
        <item x="20"/>
        <item x="8"/>
        <item t="default"/>
      </items>
    </pivotField>
    <pivotField showAll="0"/>
    <pivotField showAll="0"/>
    <pivotField showAll="0"/>
    <pivotField showAll="0"/>
    <pivotField showAll="0"/>
    <pivotField showAll="0">
      <items count="7">
        <item x="1"/>
        <item x="5"/>
        <item x="4"/>
        <item x="3"/>
        <item x="2"/>
        <item x="0"/>
        <item t="default"/>
      </items>
    </pivotField>
    <pivotField showAll="0"/>
    <pivotField showAll="0"/>
    <pivotField showAll="0"/>
  </pivotFields>
  <rowFields count="1">
    <field x="5"/>
  </rowFields>
  <rowItems count="4">
    <i>
      <x/>
    </i>
    <i>
      <x v="1"/>
    </i>
    <i>
      <x v="2"/>
    </i>
    <i t="grand">
      <x/>
    </i>
  </rowItems>
  <colItems count="1">
    <i/>
  </colItems>
  <dataFields count="1">
    <dataField name="Sum of Total_Sales" fld="11" baseField="0" baseItem="0"/>
  </dataFields>
  <chartFormats count="3">
    <chartFormat chart="0" format="1"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T_bonus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36:E39" firstHeaderRow="1" firstDataRow="1" firstDataCol="1"/>
  <pivotFields count="21">
    <pivotField dataField="1" showAll="0"/>
    <pivotField numFmtId="164" showAll="0"/>
    <pivotField showAll="0"/>
    <pivotField showAll="0">
      <items count="6">
        <item x="0"/>
        <item x="1"/>
        <item x="2"/>
        <item x="3"/>
        <item x="4"/>
        <item t="default"/>
      </items>
    </pivotField>
    <pivotField showAll="0"/>
    <pivotField showAll="0">
      <items count="4">
        <item x="1"/>
        <item x="0"/>
        <item x="2"/>
        <item t="default"/>
      </items>
    </pivotField>
    <pivotField showAll="0"/>
    <pivotField showAll="0"/>
    <pivotField showAll="0"/>
    <pivotField showAll="0"/>
    <pivotField showAll="0">
      <items count="5">
        <item x="3"/>
        <item x="1"/>
        <item x="2"/>
        <item x="0"/>
        <item t="default"/>
      </items>
    </pivotField>
    <pivotField showAll="0"/>
    <pivotField showAll="0"/>
    <pivotField showAll="0"/>
    <pivotField axis="axisRow" showAll="0">
      <items count="3">
        <item x="1"/>
        <item x="0"/>
        <item t="default"/>
      </items>
    </pivotField>
    <pivotField showAll="0"/>
    <pivotField showAll="0"/>
    <pivotField showAll="0">
      <items count="7">
        <item x="1"/>
        <item x="5"/>
        <item x="4"/>
        <item x="3"/>
        <item x="2"/>
        <item x="0"/>
        <item t="default"/>
      </items>
    </pivotField>
    <pivotField showAll="0"/>
    <pivotField showAll="0"/>
    <pivotField showAll="0"/>
  </pivotFields>
  <rowFields count="1">
    <field x="14"/>
  </rowFields>
  <rowItems count="3">
    <i>
      <x/>
    </i>
    <i>
      <x v="1"/>
    </i>
    <i t="grand">
      <x/>
    </i>
  </rowItems>
  <colItems count="1">
    <i/>
  </colItems>
  <dataFields count="1">
    <dataField name="Count of Order_ID" fld="0" subtotal="count" baseField="1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T_Cit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19:B25" firstHeaderRow="1" firstDataRow="1" firstDataCol="1"/>
  <pivotFields count="21">
    <pivotField showAll="0"/>
    <pivotField numFmtId="164" showAll="0"/>
    <pivotField showAll="0"/>
    <pivotField axis="axisRow" showAll="0">
      <items count="6">
        <item x="0"/>
        <item x="1"/>
        <item x="2"/>
        <item x="3"/>
        <item x="4"/>
        <item t="default"/>
      </items>
    </pivotField>
    <pivotField showAll="0"/>
    <pivotField showAll="0">
      <items count="4">
        <item x="1"/>
        <item x="0"/>
        <item x="2"/>
        <item t="default"/>
      </items>
    </pivotField>
    <pivotField showAll="0"/>
    <pivotField showAll="0"/>
    <pivotField showAll="0"/>
    <pivotField showAll="0"/>
    <pivotField showAll="0">
      <items count="5">
        <item x="3"/>
        <item x="1"/>
        <item x="2"/>
        <item x="0"/>
        <item t="default"/>
      </items>
    </pivotField>
    <pivotField dataField="1" showAll="0"/>
    <pivotField showAll="0"/>
    <pivotField showAll="0"/>
    <pivotField showAll="0"/>
    <pivotField showAll="0"/>
    <pivotField showAll="0"/>
    <pivotField showAll="0">
      <items count="7">
        <item x="1"/>
        <item x="5"/>
        <item x="4"/>
        <item x="3"/>
        <item x="2"/>
        <item x="0"/>
        <item t="default"/>
      </items>
    </pivotField>
    <pivotField showAll="0"/>
    <pivotField showAll="0"/>
    <pivotField showAll="0"/>
  </pivotFields>
  <rowFields count="1">
    <field x="3"/>
  </rowFields>
  <rowItems count="6">
    <i>
      <x/>
    </i>
    <i>
      <x v="1"/>
    </i>
    <i>
      <x v="2"/>
    </i>
    <i>
      <x v="3"/>
    </i>
    <i>
      <x v="4"/>
    </i>
    <i t="grand">
      <x/>
    </i>
  </rowItems>
  <colItems count="1">
    <i/>
  </colItems>
  <dataFields count="1">
    <dataField name="Sum of Total_Sales" fld="11" baseField="0" baseItem="0"/>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
  <location ref="A4:D5" firstHeaderRow="0" firstDataRow="1" firstDataCol="0"/>
  <pivotFields count="21">
    <pivotField dataField="1" showAll="0"/>
    <pivotField numFmtId="164" showAll="0"/>
    <pivotField dataField="1" showAll="0"/>
    <pivotField showAll="0">
      <items count="6">
        <item x="0"/>
        <item x="1"/>
        <item x="2"/>
        <item x="3"/>
        <item x="4"/>
        <item t="default"/>
      </items>
    </pivotField>
    <pivotField showAll="0"/>
    <pivotField showAll="0">
      <items count="4">
        <item x="1"/>
        <item x="0"/>
        <item x="2"/>
        <item t="default"/>
      </items>
    </pivotField>
    <pivotField dataField="1" showAll="0"/>
    <pivotField showAll="0"/>
    <pivotField showAll="0"/>
    <pivotField showAll="0"/>
    <pivotField showAll="0">
      <items count="5">
        <item x="3"/>
        <item x="1"/>
        <item x="2"/>
        <item x="0"/>
        <item t="default"/>
      </items>
    </pivotField>
    <pivotField dataField="1" showAll="0"/>
    <pivotField showAll="0"/>
    <pivotField showAll="0"/>
    <pivotField showAll="0"/>
    <pivotField showAll="0"/>
    <pivotField showAll="0"/>
    <pivotField showAll="0">
      <items count="7">
        <item x="1"/>
        <item x="5"/>
        <item x="4"/>
        <item x="3"/>
        <item x="2"/>
        <item x="0"/>
        <item t="default"/>
      </items>
    </pivotField>
    <pivotField showAll="0"/>
    <pivotField showAll="0"/>
    <pivotField showAll="0"/>
  </pivotFields>
  <rowItems count="1">
    <i/>
  </rowItems>
  <colFields count="1">
    <field x="-2"/>
  </colFields>
  <colItems count="4">
    <i>
      <x/>
    </i>
    <i i="1">
      <x v="1"/>
    </i>
    <i i="2">
      <x v="2"/>
    </i>
    <i i="3">
      <x v="3"/>
    </i>
  </colItems>
  <dataFields count="4">
    <dataField name="Sum of Total_Sales" fld="11" baseField="0" baseItem="0"/>
    <dataField name="Sum of Quantity" fld="6" baseField="0" baseItem="0"/>
    <dataField name="Count of Order_ID" fld="0" subtotal="count" baseField="0" baseItem="1"/>
    <dataField name="Count of Customer" fld="2" subtotal="count" baseField="0" baseItem="0"/>
  </dataFields>
  <chartFormats count="4">
    <chartFormat chart="1" format="0" series="1">
      <pivotArea type="data" outline="0" fieldPosition="0">
        <references count="1">
          <reference field="4294967294" count="1" selected="0">
            <x v="0"/>
          </reference>
        </references>
      </pivotArea>
    </chartFormat>
    <chartFormat chart="1" format="2" series="1">
      <pivotArea type="data" outline="0" fieldPosition="0">
        <references count="1">
          <reference field="4294967294" count="1" selected="0">
            <x v="3"/>
          </reference>
        </references>
      </pivotArea>
    </chartFormat>
    <chartFormat chart="1" format="4" series="1">
      <pivotArea type="data" outline="0" fieldPosition="0">
        <references count="1">
          <reference field="4294967294" count="1" selected="0">
            <x v="2"/>
          </reference>
        </references>
      </pivotArea>
    </chartFormat>
    <chartFormat chart="1"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T_salesperson "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29:B35" firstHeaderRow="1" firstDataRow="1" firstDataCol="1"/>
  <pivotFields count="21">
    <pivotField showAll="0"/>
    <pivotField numFmtId="164" showAll="0"/>
    <pivotField showAll="0"/>
    <pivotField showAll="0">
      <items count="6">
        <item x="0"/>
        <item x="1"/>
        <item x="2"/>
        <item x="3"/>
        <item x="4"/>
        <item t="default"/>
      </items>
    </pivotField>
    <pivotField showAll="0"/>
    <pivotField showAll="0">
      <items count="4">
        <item x="1"/>
        <item x="0"/>
        <item x="2"/>
        <item t="default"/>
      </items>
    </pivotField>
    <pivotField showAll="0"/>
    <pivotField showAll="0"/>
    <pivotField showAll="0"/>
    <pivotField axis="axisRow" showAll="0">
      <items count="6">
        <item x="1"/>
        <item x="3"/>
        <item x="0"/>
        <item x="4"/>
        <item x="2"/>
        <item t="default"/>
      </items>
    </pivotField>
    <pivotField showAll="0">
      <items count="5">
        <item x="3"/>
        <item x="1"/>
        <item x="2"/>
        <item x="0"/>
        <item t="default"/>
      </items>
    </pivotField>
    <pivotField dataField="1" showAll="0"/>
    <pivotField showAll="0"/>
    <pivotField showAll="0"/>
    <pivotField showAll="0"/>
    <pivotField showAll="0"/>
    <pivotField showAll="0"/>
    <pivotField showAll="0">
      <items count="7">
        <item x="1"/>
        <item x="5"/>
        <item x="4"/>
        <item x="3"/>
        <item x="2"/>
        <item x="0"/>
        <item t="default"/>
      </items>
    </pivotField>
    <pivotField showAll="0"/>
    <pivotField showAll="0"/>
    <pivotField showAll="0"/>
  </pivotFields>
  <rowFields count="1">
    <field x="9"/>
  </rowFields>
  <rowItems count="6">
    <i>
      <x/>
    </i>
    <i>
      <x v="1"/>
    </i>
    <i>
      <x v="2"/>
    </i>
    <i>
      <x v="3"/>
    </i>
    <i>
      <x v="4"/>
    </i>
    <i t="grand">
      <x/>
    </i>
  </rowItems>
  <colItems count="1">
    <i/>
  </colItems>
  <dataFields count="1">
    <dataField name="Sum of Total_Sales" fld="11"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T_salesstatu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9:E32" firstHeaderRow="1" firstDataRow="1" firstDataCol="1"/>
  <pivotFields count="21">
    <pivotField dataField="1" showAll="0"/>
    <pivotField numFmtId="164" showAll="0"/>
    <pivotField showAll="0"/>
    <pivotField showAll="0">
      <items count="6">
        <item x="0"/>
        <item x="1"/>
        <item x="2"/>
        <item x="3"/>
        <item x="4"/>
        <item t="default"/>
      </items>
    </pivotField>
    <pivotField showAll="0"/>
    <pivotField showAll="0">
      <items count="4">
        <item x="1"/>
        <item x="0"/>
        <item x="2"/>
        <item t="default"/>
      </items>
    </pivotField>
    <pivotField showAll="0"/>
    <pivotField showAll="0"/>
    <pivotField showAll="0"/>
    <pivotField showAll="0"/>
    <pivotField showAll="0">
      <items count="5">
        <item x="3"/>
        <item x="1"/>
        <item x="2"/>
        <item x="0"/>
        <item t="default"/>
      </items>
    </pivotField>
    <pivotField showAll="0"/>
    <pivotField axis="axisRow" showAll="0">
      <items count="3">
        <item x="1"/>
        <item x="0"/>
        <item t="default"/>
      </items>
    </pivotField>
    <pivotField showAll="0"/>
    <pivotField showAll="0"/>
    <pivotField showAll="0"/>
    <pivotField showAll="0"/>
    <pivotField showAll="0">
      <items count="7">
        <item x="1"/>
        <item x="5"/>
        <item x="4"/>
        <item x="3"/>
        <item x="2"/>
        <item x="0"/>
        <item t="default"/>
      </items>
    </pivotField>
    <pivotField showAll="0"/>
    <pivotField showAll="0"/>
    <pivotField showAll="0"/>
  </pivotFields>
  <rowFields count="1">
    <field x="12"/>
  </rowFields>
  <rowItems count="3">
    <i>
      <x/>
    </i>
    <i>
      <x v="1"/>
    </i>
    <i t="grand">
      <x/>
    </i>
  </rowItems>
  <colItems count="1">
    <i/>
  </colItems>
  <dataFields count="1">
    <dataField name="Count of Order_ID" fld="0" subtotal="count" baseField="1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T_monthsale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9:E26" firstHeaderRow="1" firstDataRow="1" firstDataCol="1"/>
  <pivotFields count="21">
    <pivotField showAll="0"/>
    <pivotField numFmtId="164" showAll="0"/>
    <pivotField showAll="0"/>
    <pivotField showAll="0">
      <items count="6">
        <item x="0"/>
        <item x="1"/>
        <item x="2"/>
        <item x="3"/>
        <item x="4"/>
        <item t="default"/>
      </items>
    </pivotField>
    <pivotField showAll="0"/>
    <pivotField showAll="0">
      <items count="4">
        <item x="1"/>
        <item x="0"/>
        <item x="2"/>
        <item t="default"/>
      </items>
    </pivotField>
    <pivotField showAll="0"/>
    <pivotField showAll="0"/>
    <pivotField showAll="0"/>
    <pivotField showAll="0"/>
    <pivotField showAll="0">
      <items count="5">
        <item x="3"/>
        <item x="1"/>
        <item x="2"/>
        <item x="0"/>
        <item t="default"/>
      </items>
    </pivotField>
    <pivotField dataField="1" showAll="0"/>
    <pivotField showAll="0"/>
    <pivotField showAll="0"/>
    <pivotField showAll="0"/>
    <pivotField showAll="0"/>
    <pivotField showAll="0"/>
    <pivotField axis="axisRow" showAll="0">
      <items count="7">
        <item x="1"/>
        <item x="5"/>
        <item x="4"/>
        <item x="3"/>
        <item x="2"/>
        <item x="0"/>
        <item t="default"/>
      </items>
    </pivotField>
    <pivotField showAll="0"/>
    <pivotField showAll="0"/>
    <pivotField showAll="0"/>
  </pivotFields>
  <rowFields count="1">
    <field x="17"/>
  </rowFields>
  <rowItems count="7">
    <i>
      <x/>
    </i>
    <i>
      <x v="1"/>
    </i>
    <i>
      <x v="2"/>
    </i>
    <i>
      <x v="3"/>
    </i>
    <i>
      <x v="4"/>
    </i>
    <i>
      <x v="5"/>
    </i>
    <i t="grand">
      <x/>
    </i>
  </rowItems>
  <colItems count="1">
    <i/>
  </colItems>
  <dataFields count="1">
    <dataField name="Sum of Total_Sales" fld="11" baseField="0" baseItem="0"/>
  </dataFields>
  <chartFormats count="1">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J10:K21" firstHeaderRow="1" firstDataRow="1" firstDataCol="1"/>
  <pivotFields count="21">
    <pivotField showAll="0"/>
    <pivotField numFmtId="164" showAll="0"/>
    <pivotField axis="axisRow" dataField="1" showAll="0">
      <items count="11">
        <item x="0"/>
        <item x="1"/>
        <item x="2"/>
        <item x="3"/>
        <item x="4"/>
        <item x="5"/>
        <item x="6"/>
        <item x="7"/>
        <item x="8"/>
        <item x="9"/>
        <item t="default"/>
      </items>
    </pivotField>
    <pivotField showAll="0">
      <items count="6">
        <item x="0"/>
        <item x="1"/>
        <item x="2"/>
        <item x="3"/>
        <item x="4"/>
        <item t="default"/>
      </items>
    </pivotField>
    <pivotField showAll="0"/>
    <pivotField showAll="0">
      <items count="4">
        <item x="1"/>
        <item x="0"/>
        <item x="2"/>
        <item t="default"/>
      </items>
    </pivotField>
    <pivotField showAll="0"/>
    <pivotField showAll="0"/>
    <pivotField showAll="0"/>
    <pivotField showAll="0"/>
    <pivotField showAll="0">
      <items count="5">
        <item x="3"/>
        <item x="1"/>
        <item x="2"/>
        <item x="0"/>
        <item t="default"/>
      </items>
    </pivotField>
    <pivotField showAll="0"/>
    <pivotField showAll="0"/>
    <pivotField showAll="0"/>
    <pivotField showAll="0"/>
    <pivotField showAll="0"/>
    <pivotField showAll="0"/>
    <pivotField showAll="0">
      <items count="7">
        <item x="1"/>
        <item x="5"/>
        <item x="4"/>
        <item x="3"/>
        <item x="2"/>
        <item x="0"/>
        <item t="default"/>
      </items>
    </pivotField>
    <pivotField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Count of Customer" fld="2" subtotal="count" baseField="2"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T_paymentmode"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D10:E15" firstHeaderRow="1" firstDataRow="1" firstDataCol="1"/>
  <pivotFields count="21">
    <pivotField showAll="0"/>
    <pivotField numFmtId="164" showAll="0"/>
    <pivotField showAll="0"/>
    <pivotField showAll="0">
      <items count="6">
        <item x="0"/>
        <item x="1"/>
        <item x="2"/>
        <item x="3"/>
        <item x="4"/>
        <item t="default"/>
      </items>
    </pivotField>
    <pivotField showAll="0"/>
    <pivotField showAll="0">
      <items count="4">
        <item x="1"/>
        <item x="0"/>
        <item x="2"/>
        <item t="default"/>
      </items>
    </pivotField>
    <pivotField showAll="0"/>
    <pivotField showAll="0"/>
    <pivotField showAll="0"/>
    <pivotField showAll="0"/>
    <pivotField axis="axisRow" showAll="0">
      <items count="5">
        <item x="3"/>
        <item x="1"/>
        <item x="2"/>
        <item x="0"/>
        <item t="default"/>
      </items>
    </pivotField>
    <pivotField dataField="1" showAll="0"/>
    <pivotField showAll="0"/>
    <pivotField showAll="0"/>
    <pivotField showAll="0"/>
    <pivotField showAll="0"/>
    <pivotField showAll="0"/>
    <pivotField showAll="0">
      <items count="7">
        <item x="1"/>
        <item x="5"/>
        <item x="4"/>
        <item x="3"/>
        <item x="2"/>
        <item x="0"/>
        <item t="default"/>
      </items>
    </pivotField>
    <pivotField showAll="0"/>
    <pivotField showAll="0"/>
    <pivotField showAll="0"/>
  </pivotFields>
  <rowFields count="1">
    <field x="10"/>
  </rowFields>
  <rowItems count="5">
    <i>
      <x/>
    </i>
    <i>
      <x v="1"/>
    </i>
    <i>
      <x v="2"/>
    </i>
    <i>
      <x v="3"/>
    </i>
    <i t="grand">
      <x/>
    </i>
  </rowItems>
  <colItems count="1">
    <i/>
  </colItems>
  <dataFields count="1">
    <dataField name="Sum of Total_Sales" fld="11" baseField="0" baseItem="0"/>
  </dataFields>
  <chartFormats count="6">
    <chartFormat chart="0" format="0" series="1">
      <pivotArea type="data" outline="0" fieldPosition="0">
        <references count="1">
          <reference field="4294967294" count="1" selected="0">
            <x v="0"/>
          </reference>
        </references>
      </pivotArea>
    </chartFormat>
    <chartFormat chart="2" format="11" series="1">
      <pivotArea type="data" outline="0" fieldPosition="0">
        <references count="1">
          <reference field="4294967294" count="1" selected="0">
            <x v="0"/>
          </reference>
        </references>
      </pivotArea>
    </chartFormat>
    <chartFormat chart="2" format="12">
      <pivotArea type="data" outline="0" fieldPosition="0">
        <references count="2">
          <reference field="4294967294" count="1" selected="0">
            <x v="0"/>
          </reference>
          <reference field="10" count="1" selected="0">
            <x v="0"/>
          </reference>
        </references>
      </pivotArea>
    </chartFormat>
    <chartFormat chart="2" format="13">
      <pivotArea type="data" outline="0" fieldPosition="0">
        <references count="2">
          <reference field="4294967294" count="1" selected="0">
            <x v="0"/>
          </reference>
          <reference field="10" count="1" selected="0">
            <x v="1"/>
          </reference>
        </references>
      </pivotArea>
    </chartFormat>
    <chartFormat chart="2" format="14">
      <pivotArea type="data" outline="0" fieldPosition="0">
        <references count="2">
          <reference field="4294967294" count="1" selected="0">
            <x v="0"/>
          </reference>
          <reference field="10" count="1" selected="0">
            <x v="2"/>
          </reference>
        </references>
      </pivotArea>
    </chartFormat>
    <chartFormat chart="2" format="15">
      <pivotArea type="data" outline="0" fieldPosition="0">
        <references count="2">
          <reference field="4294967294" count="1" selected="0">
            <x v="0"/>
          </reference>
          <reference field="1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month_name" sourceName="month name ">
  <pivotTables>
    <pivotTable tabId="3" name="PT_salesperson "/>
    <pivotTable tabId="3" name="PT_bonusstatus"/>
    <pivotTable tabId="3" name="PT_Category"/>
    <pivotTable tabId="3" name="PT_City"/>
    <pivotTable tabId="3" name="PT_monthsales"/>
    <pivotTable tabId="3" name="PT_paymentmode"/>
    <pivotTable tabId="3" name="PT_salesstatus"/>
    <pivotTable tabId="3" name="PivotTable1"/>
    <pivotTable tabId="3" name="PivotTable2"/>
  </pivotTables>
  <data>
    <tabular pivotCacheId="1">
      <items count="6">
        <i x="1" s="1"/>
        <i x="5"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ayment_Mode" sourceName="Payment_Mode">
  <pivotTables>
    <pivotTable tabId="3" name="PT_salesperson "/>
    <pivotTable tabId="3" name="PivotTable1"/>
    <pivotTable tabId="3" name="PivotTable2"/>
    <pivotTable tabId="3" name="PT_bonusstatus"/>
    <pivotTable tabId="3" name="PT_Category"/>
    <pivotTable tabId="3" name="PT_City"/>
    <pivotTable tabId="3" name="PT_monthsales"/>
    <pivotTable tabId="3" name="PT_paymentmode"/>
    <pivotTable tabId="3" name="PT_salesstatus"/>
  </pivotTables>
  <data>
    <tabular pivotCacheId="1">
      <items count="4">
        <i x="3" s="1"/>
        <i x="1" s="1"/>
        <i x="2"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City" sourceName="City">
  <pivotTables>
    <pivotTable tabId="3" name="PT_salesperson "/>
    <pivotTable tabId="3" name="PivotTable1"/>
    <pivotTable tabId="3" name="PivotTable2"/>
    <pivotTable tabId="3" name="PT_bonusstatus"/>
    <pivotTable tabId="3" name="PT_Category"/>
    <pivotTable tabId="3" name="PT_City"/>
    <pivotTable tabId="3" name="PT_monthsales"/>
    <pivotTable tabId="3" name="PT_paymentmode"/>
    <pivotTable tabId="3" name="PT_salesstatus"/>
  </pivotTables>
  <data>
    <tabular pivotCacheId="1">
      <items count="5">
        <i x="0" s="1"/>
        <i x="1" s="1"/>
        <i x="2" s="1"/>
        <i x="3" s="1"/>
        <i x="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Category" sourceName="Category">
  <pivotTables>
    <pivotTable tabId="3" name="PT_salesperson "/>
    <pivotTable tabId="3" name="PivotTable1"/>
    <pivotTable tabId="3" name="PivotTable2"/>
    <pivotTable tabId="3" name="PT_bonusstatus"/>
    <pivotTable tabId="3" name="PT_Category"/>
    <pivotTable tabId="3" name="PT_City"/>
    <pivotTable tabId="3" name="PT_monthsales"/>
    <pivotTable tabId="3" name="PT_paymentmode"/>
    <pivotTable tabId="3" name="PT_salesstatus"/>
  </pivotTables>
  <data>
    <tabular pivotCacheId="1">
      <items count="3">
        <i x="1" s="1"/>
        <i x="0"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month name " cache="Slicer_month_name" caption="month name " rowHeight="241300"/>
  <slicer name="Payment_Mode" cache="Slicer_Payment_Mode" caption="Payment_Mode" rowHeight="241300"/>
  <slicer name="City" cache="Slicer_City" caption="City" rowHeight="241300"/>
  <slicer name="Category" cache="Slicer_Category" caption="Category" rowHeight="241300"/>
</slicers>
</file>

<file path=xl/tables/table1.xml><?xml version="1.0" encoding="utf-8"?>
<table xmlns="http://schemas.openxmlformats.org/spreadsheetml/2006/main" id="1" name="Table1" displayName="Table1" ref="A1:U101" totalsRowShown="0">
  <autoFilter ref="A1:U101">
    <filterColumn colId="6">
      <customFilters>
        <customFilter operator="greaterThan" val="0"/>
      </customFilters>
    </filterColumn>
    <filterColumn colId="7">
      <customFilters>
        <customFilter operator="greaterThan" val="0"/>
      </customFilters>
    </filterColumn>
    <filterColumn colId="8">
      <customFilters and="1">
        <customFilter operator="greaterThanOrEqual" val="0"/>
        <customFilter operator="lessThanOrEqual" val="100"/>
      </customFilters>
    </filterColumn>
  </autoFilter>
  <sortState ref="A2:P102">
    <sortCondition ref="D2:D102"/>
    <sortCondition ref="C2:C102"/>
  </sortState>
  <tableColumns count="21">
    <tableColumn id="1" name="Order_ID"/>
    <tableColumn id="2" name="Order_Date" dataDxfId="9"/>
    <tableColumn id="3" name="Customer"/>
    <tableColumn id="4" name="City"/>
    <tableColumn id="5" name="Product"/>
    <tableColumn id="6" name="Category"/>
    <tableColumn id="7" name="Quantity"/>
    <tableColumn id="8" name="Unit_Price"/>
    <tableColumn id="9" name="Discount_%"/>
    <tableColumn id="10" name="Sales_Person"/>
    <tableColumn id="11" name="Payment_Mode"/>
    <tableColumn id="12" name="Total_Sales">
      <calculatedColumnFormula>G2*H2*(1-I2/100)</calculatedColumnFormula>
    </tableColumn>
    <tableColumn id="13" name="sales status " dataDxfId="8">
      <calculatedColumnFormula>IF(L2&gt;=20000,"high sales","low sales")</calculatedColumnFormula>
    </tableColumn>
    <tableColumn id="14" name="status" dataDxfId="7">
      <calculatedColumnFormula>IF(L2&gt;=115000,"Excellent",IF(L2&gt;=12000,"good",IF(L2&gt;=6000,"average","LOW SALES")))</calculatedColumnFormula>
    </tableColumn>
    <tableColumn id="15" name="bonus status" dataDxfId="6">
      <calculatedColumnFormula>IF(AND(L2&gt;=9000,D2="SURAT"),"BONUS","NO BONUS")</calculatedColumnFormula>
    </tableColumn>
    <tableColumn id="17" name="year" dataDxfId="5">
      <calculatedColumnFormula>YEAR(B2)</calculatedColumnFormula>
    </tableColumn>
    <tableColumn id="18" name="month no" dataDxfId="4">
      <calculatedColumnFormula>MONTH(B2)</calculatedColumnFormula>
    </tableColumn>
    <tableColumn id="19" name="month name " dataDxfId="3">
      <calculatedColumnFormula>TEXT(B2,"mmmm")</calculatedColumnFormula>
    </tableColumn>
    <tableColumn id="20" name="quarter" dataDxfId="2">
      <calculatedColumnFormula>"Q"&amp;ROUNDUP(MONTH(B2)/3,0)</calculatedColumnFormula>
    </tableColumn>
    <tableColumn id="21" name="day name " dataDxfId="1">
      <calculatedColumnFormula>TEXT(B2,"dddd")</calculatedColumnFormula>
    </tableColumn>
    <tableColumn id="22" name="week no" dataDxfId="0">
      <calculatedColumnFormula>WEEKNUM(B2)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1"/>
  <sheetViews>
    <sheetView topLeftCell="A2" zoomScaleNormal="100" workbookViewId="0">
      <selection activeCell="P1" sqref="P1"/>
    </sheetView>
  </sheetViews>
  <sheetFormatPr defaultRowHeight="15" x14ac:dyDescent="0.25"/>
  <cols>
    <col min="1" max="1" width="11.140625" customWidth="1"/>
    <col min="2" max="2" width="13.42578125" customWidth="1"/>
    <col min="3" max="3" width="11.7109375" customWidth="1"/>
    <col min="5" max="5" width="10" customWidth="1"/>
    <col min="6" max="6" width="11" customWidth="1"/>
    <col min="7" max="7" width="10.85546875" customWidth="1"/>
    <col min="8" max="8" width="12.42578125" customWidth="1"/>
    <col min="9" max="9" width="13.42578125" customWidth="1"/>
    <col min="10" max="10" width="14.85546875" customWidth="1"/>
    <col min="11" max="11" width="17.28515625" customWidth="1"/>
    <col min="12" max="12" width="13.140625" customWidth="1"/>
    <col min="13" max="13" width="13.85546875" bestFit="1" customWidth="1"/>
    <col min="14" max="14" width="10.7109375" bestFit="1" customWidth="1"/>
    <col min="15" max="15" width="14.42578125" bestFit="1" customWidth="1"/>
    <col min="16" max="16" width="15.7109375" bestFit="1" customWidth="1"/>
    <col min="17" max="17" width="15.140625" bestFit="1" customWidth="1"/>
    <col min="18" max="18" width="20.85546875" bestFit="1" customWidth="1"/>
    <col min="19" max="19" width="21.85546875" bestFit="1" customWidth="1"/>
    <col min="20" max="20" width="14.140625" bestFit="1" customWidth="1"/>
    <col min="21" max="21" width="12.28515625" bestFit="1" customWidth="1"/>
    <col min="22" max="22" width="13.42578125" bestFit="1" customWidth="1"/>
    <col min="24" max="24" width="15.28515625" bestFit="1" customWidth="1"/>
    <col min="25" max="25" width="11.7109375" bestFit="1" customWidth="1"/>
  </cols>
  <sheetData>
    <row r="1" spans="1:21" x14ac:dyDescent="0.25">
      <c r="A1" t="s">
        <v>0</v>
      </c>
      <c r="B1" t="s">
        <v>1</v>
      </c>
      <c r="C1" t="s">
        <v>2</v>
      </c>
      <c r="D1" t="s">
        <v>3</v>
      </c>
      <c r="E1" t="s">
        <v>4</v>
      </c>
      <c r="F1" t="s">
        <v>5</v>
      </c>
      <c r="G1" t="s">
        <v>6</v>
      </c>
      <c r="H1" t="s">
        <v>7</v>
      </c>
      <c r="I1" t="s">
        <v>8</v>
      </c>
      <c r="J1" t="s">
        <v>9</v>
      </c>
      <c r="K1" t="s">
        <v>10</v>
      </c>
      <c r="L1" t="s">
        <v>11</v>
      </c>
      <c r="M1" t="s">
        <v>46</v>
      </c>
      <c r="N1" t="s">
        <v>47</v>
      </c>
      <c r="O1" t="s">
        <v>48</v>
      </c>
      <c r="P1" t="s">
        <v>89</v>
      </c>
      <c r="Q1" t="s">
        <v>90</v>
      </c>
      <c r="R1" t="s">
        <v>91</v>
      </c>
      <c r="S1" t="s">
        <v>92</v>
      </c>
      <c r="T1" t="s">
        <v>93</v>
      </c>
      <c r="U1" t="s">
        <v>94</v>
      </c>
    </row>
    <row r="2" spans="1:21" x14ac:dyDescent="0.25">
      <c r="A2">
        <v>1076</v>
      </c>
      <c r="B2" s="9">
        <v>46176</v>
      </c>
      <c r="C2" t="s">
        <v>41</v>
      </c>
      <c r="D2" t="s">
        <v>24</v>
      </c>
      <c r="E2" t="s">
        <v>30</v>
      </c>
      <c r="F2" t="s">
        <v>21</v>
      </c>
      <c r="G2">
        <v>8</v>
      </c>
      <c r="H2">
        <v>750</v>
      </c>
      <c r="I2">
        <v>5</v>
      </c>
      <c r="J2" t="s">
        <v>16</v>
      </c>
      <c r="K2" t="s">
        <v>31</v>
      </c>
      <c r="L2">
        <f t="shared" ref="L2:L33" si="0">G2*H2*(1-I2/100)</f>
        <v>5700</v>
      </c>
      <c r="M2" t="str">
        <f t="shared" ref="M2:M33" si="1">IF(L2&gt;=20000,"high sales","low sales")</f>
        <v>low sales</v>
      </c>
      <c r="N2" t="str">
        <f t="shared" ref="N2:N33" si="2">IF(L2&gt;=115000,"Excellent",IF(L2&gt;=12000,"good",IF(L2&gt;=6000,"average","LOW SALES")))</f>
        <v>LOW SALES</v>
      </c>
      <c r="O2" t="str">
        <f t="shared" ref="O2:O33" si="3">IF(AND(L2&gt;=9000,D2="SURAT"),"BONUS","NO BONUS")</f>
        <v>NO BONUS</v>
      </c>
      <c r="P2" s="1">
        <f t="shared" ref="P2:P33" si="4">YEAR(B2)</f>
        <v>2026</v>
      </c>
      <c r="Q2" s="1">
        <f t="shared" ref="Q2:Q33" si="5">MONTH(B2)</f>
        <v>6</v>
      </c>
      <c r="R2" s="1" t="str">
        <f t="shared" ref="R2:R33" si="6">TEXT(B2,"mmmm")</f>
        <v>June</v>
      </c>
      <c r="S2" s="1" t="str">
        <f t="shared" ref="S2:S33" si="7">"Q"&amp;ROUNDUP(MONTH(B2)/3,0)</f>
        <v>Q2</v>
      </c>
      <c r="T2" s="1" t="str">
        <f t="shared" ref="T2:T33" si="8">TEXT(B2,"dddd")</f>
        <v>Wednesday</v>
      </c>
      <c r="U2" s="1">
        <f t="shared" ref="U2:U33" si="9">WEEKNUM(B2)</f>
        <v>23</v>
      </c>
    </row>
    <row r="3" spans="1:21" x14ac:dyDescent="0.25">
      <c r="A3">
        <v>1039</v>
      </c>
      <c r="B3" s="9">
        <v>46028</v>
      </c>
      <c r="C3" t="s">
        <v>41</v>
      </c>
      <c r="D3" t="s">
        <v>24</v>
      </c>
      <c r="E3" t="s">
        <v>40</v>
      </c>
      <c r="F3" t="s">
        <v>26</v>
      </c>
      <c r="G3">
        <v>8</v>
      </c>
      <c r="H3">
        <v>1000</v>
      </c>
      <c r="I3">
        <v>0</v>
      </c>
      <c r="J3" t="s">
        <v>16</v>
      </c>
      <c r="K3" t="s">
        <v>31</v>
      </c>
      <c r="L3">
        <f t="shared" si="0"/>
        <v>8000</v>
      </c>
      <c r="M3" t="str">
        <f t="shared" si="1"/>
        <v>low sales</v>
      </c>
      <c r="N3" t="str">
        <f t="shared" si="2"/>
        <v>average</v>
      </c>
      <c r="O3" t="str">
        <f t="shared" si="3"/>
        <v>NO BONUS</v>
      </c>
      <c r="P3" s="1">
        <f t="shared" si="4"/>
        <v>2026</v>
      </c>
      <c r="Q3" s="1">
        <f t="shared" si="5"/>
        <v>1</v>
      </c>
      <c r="R3" s="1" t="str">
        <f t="shared" si="6"/>
        <v>January</v>
      </c>
      <c r="S3" s="1" t="str">
        <f t="shared" si="7"/>
        <v>Q1</v>
      </c>
      <c r="T3" s="1" t="str">
        <f t="shared" si="8"/>
        <v>Tuesday</v>
      </c>
      <c r="U3" s="1">
        <f t="shared" si="9"/>
        <v>2</v>
      </c>
    </row>
    <row r="4" spans="1:21" x14ac:dyDescent="0.25">
      <c r="A4">
        <v>1022</v>
      </c>
      <c r="B4" s="9">
        <v>46157</v>
      </c>
      <c r="C4" t="s">
        <v>45</v>
      </c>
      <c r="D4" t="s">
        <v>24</v>
      </c>
      <c r="E4" t="s">
        <v>20</v>
      </c>
      <c r="F4" t="s">
        <v>21</v>
      </c>
      <c r="G4">
        <v>2</v>
      </c>
      <c r="H4">
        <v>500</v>
      </c>
      <c r="I4">
        <v>20</v>
      </c>
      <c r="J4" t="s">
        <v>35</v>
      </c>
      <c r="K4" t="s">
        <v>17</v>
      </c>
      <c r="L4">
        <f t="shared" si="0"/>
        <v>800</v>
      </c>
      <c r="M4" t="str">
        <f t="shared" si="1"/>
        <v>low sales</v>
      </c>
      <c r="N4" t="str">
        <f t="shared" si="2"/>
        <v>LOW SALES</v>
      </c>
      <c r="O4" t="str">
        <f t="shared" si="3"/>
        <v>NO BONUS</v>
      </c>
      <c r="P4" s="1">
        <f t="shared" si="4"/>
        <v>2026</v>
      </c>
      <c r="Q4" s="1">
        <f t="shared" si="5"/>
        <v>5</v>
      </c>
      <c r="R4" s="1" t="str">
        <f t="shared" si="6"/>
        <v>May</v>
      </c>
      <c r="S4" s="1" t="str">
        <f t="shared" si="7"/>
        <v>Q2</v>
      </c>
      <c r="T4" s="1" t="str">
        <f t="shared" si="8"/>
        <v>Friday</v>
      </c>
      <c r="U4" s="1">
        <f t="shared" si="9"/>
        <v>20</v>
      </c>
    </row>
    <row r="5" spans="1:21" x14ac:dyDescent="0.25">
      <c r="A5">
        <v>1081</v>
      </c>
      <c r="B5" s="9">
        <v>46129</v>
      </c>
      <c r="C5" t="s">
        <v>45</v>
      </c>
      <c r="D5" t="s">
        <v>24</v>
      </c>
      <c r="E5" t="s">
        <v>34</v>
      </c>
      <c r="F5" t="s">
        <v>21</v>
      </c>
      <c r="G5">
        <v>1</v>
      </c>
      <c r="H5">
        <v>1000</v>
      </c>
      <c r="I5">
        <v>15</v>
      </c>
      <c r="J5" t="s">
        <v>35</v>
      </c>
      <c r="K5" t="s">
        <v>17</v>
      </c>
      <c r="L5">
        <f t="shared" si="0"/>
        <v>850</v>
      </c>
      <c r="M5" t="str">
        <f t="shared" si="1"/>
        <v>low sales</v>
      </c>
      <c r="N5" t="str">
        <f t="shared" si="2"/>
        <v>LOW SALES</v>
      </c>
      <c r="O5" t="str">
        <f t="shared" si="3"/>
        <v>NO BONUS</v>
      </c>
      <c r="P5" s="1">
        <f t="shared" si="4"/>
        <v>2026</v>
      </c>
      <c r="Q5" s="1">
        <f t="shared" si="5"/>
        <v>4</v>
      </c>
      <c r="R5" s="1" t="str">
        <f t="shared" si="6"/>
        <v>April</v>
      </c>
      <c r="S5" s="1" t="str">
        <f t="shared" si="7"/>
        <v>Q2</v>
      </c>
      <c r="T5" s="1" t="str">
        <f t="shared" si="8"/>
        <v>Friday</v>
      </c>
      <c r="U5" s="1">
        <f t="shared" si="9"/>
        <v>16</v>
      </c>
    </row>
    <row r="6" spans="1:21" x14ac:dyDescent="0.25">
      <c r="A6">
        <v>1063</v>
      </c>
      <c r="B6" s="9">
        <v>46181</v>
      </c>
      <c r="C6" t="s">
        <v>45</v>
      </c>
      <c r="D6" t="s">
        <v>24</v>
      </c>
      <c r="E6" t="s">
        <v>42</v>
      </c>
      <c r="F6" t="s">
        <v>15</v>
      </c>
      <c r="G6">
        <v>8</v>
      </c>
      <c r="H6">
        <v>5000</v>
      </c>
      <c r="I6">
        <v>10</v>
      </c>
      <c r="J6" t="s">
        <v>22</v>
      </c>
      <c r="K6" t="s">
        <v>39</v>
      </c>
      <c r="L6">
        <f t="shared" si="0"/>
        <v>36000</v>
      </c>
      <c r="M6" t="str">
        <f t="shared" si="1"/>
        <v>high sales</v>
      </c>
      <c r="N6" t="str">
        <f t="shared" si="2"/>
        <v>good</v>
      </c>
      <c r="O6" t="str">
        <f t="shared" si="3"/>
        <v>NO BONUS</v>
      </c>
      <c r="P6" s="1">
        <f t="shared" si="4"/>
        <v>2026</v>
      </c>
      <c r="Q6" s="1">
        <f t="shared" si="5"/>
        <v>6</v>
      </c>
      <c r="R6" s="1" t="str">
        <f t="shared" si="6"/>
        <v>June</v>
      </c>
      <c r="S6" s="1" t="str">
        <f t="shared" si="7"/>
        <v>Q2</v>
      </c>
      <c r="T6" s="1" t="str">
        <f t="shared" si="8"/>
        <v>Monday</v>
      </c>
      <c r="U6" s="1">
        <f t="shared" si="9"/>
        <v>24</v>
      </c>
    </row>
    <row r="7" spans="1:21" x14ac:dyDescent="0.25">
      <c r="A7">
        <v>1015</v>
      </c>
      <c r="B7" s="9">
        <v>46144</v>
      </c>
      <c r="C7" t="s">
        <v>18</v>
      </c>
      <c r="D7" t="s">
        <v>24</v>
      </c>
      <c r="E7" t="s">
        <v>14</v>
      </c>
      <c r="F7" t="s">
        <v>15</v>
      </c>
      <c r="G7">
        <v>7</v>
      </c>
      <c r="H7">
        <v>250</v>
      </c>
      <c r="I7">
        <v>20</v>
      </c>
      <c r="J7" t="s">
        <v>27</v>
      </c>
      <c r="K7" t="s">
        <v>17</v>
      </c>
      <c r="L7">
        <f t="shared" si="0"/>
        <v>1400</v>
      </c>
      <c r="M7" t="str">
        <f t="shared" si="1"/>
        <v>low sales</v>
      </c>
      <c r="N7" t="str">
        <f t="shared" si="2"/>
        <v>LOW SALES</v>
      </c>
      <c r="O7" t="str">
        <f t="shared" si="3"/>
        <v>NO BONUS</v>
      </c>
      <c r="P7" s="1">
        <f t="shared" si="4"/>
        <v>2026</v>
      </c>
      <c r="Q7" s="1">
        <f t="shared" si="5"/>
        <v>5</v>
      </c>
      <c r="R7" s="1" t="str">
        <f t="shared" si="6"/>
        <v>May</v>
      </c>
      <c r="S7" s="1" t="str">
        <f t="shared" si="7"/>
        <v>Q2</v>
      </c>
      <c r="T7" s="1" t="str">
        <f t="shared" si="8"/>
        <v>Saturday</v>
      </c>
      <c r="U7" s="1">
        <f t="shared" si="9"/>
        <v>18</v>
      </c>
    </row>
    <row r="8" spans="1:21" x14ac:dyDescent="0.25">
      <c r="A8">
        <v>1073</v>
      </c>
      <c r="B8" s="9">
        <v>46029</v>
      </c>
      <c r="C8" t="s">
        <v>18</v>
      </c>
      <c r="D8" t="s">
        <v>24</v>
      </c>
      <c r="E8" t="s">
        <v>25</v>
      </c>
      <c r="F8" t="s">
        <v>26</v>
      </c>
      <c r="G8">
        <v>3</v>
      </c>
      <c r="H8">
        <v>2500</v>
      </c>
      <c r="I8">
        <v>15</v>
      </c>
      <c r="J8" t="s">
        <v>22</v>
      </c>
      <c r="K8" t="s">
        <v>31</v>
      </c>
      <c r="L8">
        <f t="shared" si="0"/>
        <v>6375</v>
      </c>
      <c r="M8" t="str">
        <f t="shared" si="1"/>
        <v>low sales</v>
      </c>
      <c r="N8" t="str">
        <f t="shared" si="2"/>
        <v>average</v>
      </c>
      <c r="O8" t="str">
        <f t="shared" si="3"/>
        <v>NO BONUS</v>
      </c>
      <c r="P8" s="1">
        <f t="shared" si="4"/>
        <v>2026</v>
      </c>
      <c r="Q8" s="1">
        <f t="shared" si="5"/>
        <v>1</v>
      </c>
      <c r="R8" s="1" t="str">
        <f t="shared" si="6"/>
        <v>January</v>
      </c>
      <c r="S8" s="1" t="str">
        <f t="shared" si="7"/>
        <v>Q1</v>
      </c>
      <c r="T8" s="1" t="str">
        <f t="shared" si="8"/>
        <v>Wednesday</v>
      </c>
      <c r="U8" s="1">
        <f t="shared" si="9"/>
        <v>2</v>
      </c>
    </row>
    <row r="9" spans="1:21" x14ac:dyDescent="0.25">
      <c r="A9">
        <v>1037</v>
      </c>
      <c r="B9" s="9">
        <v>46098</v>
      </c>
      <c r="C9" t="s">
        <v>43</v>
      </c>
      <c r="D9" t="s">
        <v>24</v>
      </c>
      <c r="E9" t="s">
        <v>30</v>
      </c>
      <c r="F9" t="s">
        <v>21</v>
      </c>
      <c r="G9">
        <v>8</v>
      </c>
      <c r="H9">
        <v>1500</v>
      </c>
      <c r="I9">
        <v>10</v>
      </c>
      <c r="J9" t="s">
        <v>35</v>
      </c>
      <c r="K9" t="s">
        <v>28</v>
      </c>
      <c r="L9">
        <f t="shared" si="0"/>
        <v>10800</v>
      </c>
      <c r="M9" t="str">
        <f t="shared" si="1"/>
        <v>low sales</v>
      </c>
      <c r="N9" t="str">
        <f t="shared" si="2"/>
        <v>average</v>
      </c>
      <c r="O9" t="str">
        <f t="shared" si="3"/>
        <v>NO BONUS</v>
      </c>
      <c r="P9" s="1">
        <f t="shared" si="4"/>
        <v>2026</v>
      </c>
      <c r="Q9" s="1">
        <f t="shared" si="5"/>
        <v>3</v>
      </c>
      <c r="R9" s="1" t="str">
        <f t="shared" si="6"/>
        <v>March</v>
      </c>
      <c r="S9" s="1" t="str">
        <f t="shared" si="7"/>
        <v>Q1</v>
      </c>
      <c r="T9" s="1" t="str">
        <f t="shared" si="8"/>
        <v>Tuesday</v>
      </c>
      <c r="U9" s="1">
        <f t="shared" si="9"/>
        <v>12</v>
      </c>
    </row>
    <row r="10" spans="1:21" x14ac:dyDescent="0.25">
      <c r="A10">
        <v>1062</v>
      </c>
      <c r="B10" s="9">
        <v>46120</v>
      </c>
      <c r="C10" t="s">
        <v>43</v>
      </c>
      <c r="D10" t="s">
        <v>24</v>
      </c>
      <c r="E10" t="s">
        <v>42</v>
      </c>
      <c r="F10" t="s">
        <v>15</v>
      </c>
      <c r="G10">
        <v>10</v>
      </c>
      <c r="H10">
        <v>12000</v>
      </c>
      <c r="I10">
        <v>5</v>
      </c>
      <c r="J10" t="s">
        <v>16</v>
      </c>
      <c r="K10" t="s">
        <v>28</v>
      </c>
      <c r="L10">
        <f t="shared" si="0"/>
        <v>114000</v>
      </c>
      <c r="M10" t="str">
        <f t="shared" si="1"/>
        <v>high sales</v>
      </c>
      <c r="N10" t="str">
        <f t="shared" si="2"/>
        <v>good</v>
      </c>
      <c r="O10" t="str">
        <f t="shared" si="3"/>
        <v>NO BONUS</v>
      </c>
      <c r="P10" s="1">
        <f t="shared" si="4"/>
        <v>2026</v>
      </c>
      <c r="Q10" s="1">
        <f t="shared" si="5"/>
        <v>4</v>
      </c>
      <c r="R10" s="1" t="str">
        <f t="shared" si="6"/>
        <v>April</v>
      </c>
      <c r="S10" s="1" t="str">
        <f t="shared" si="7"/>
        <v>Q2</v>
      </c>
      <c r="T10" s="1" t="str">
        <f t="shared" si="8"/>
        <v>Wednesday</v>
      </c>
      <c r="U10" s="1">
        <f t="shared" si="9"/>
        <v>15</v>
      </c>
    </row>
    <row r="11" spans="1:21" x14ac:dyDescent="0.25">
      <c r="A11">
        <v>1027</v>
      </c>
      <c r="B11" s="9">
        <v>46081</v>
      </c>
      <c r="C11" t="s">
        <v>36</v>
      </c>
      <c r="D11" t="s">
        <v>24</v>
      </c>
      <c r="E11" t="s">
        <v>40</v>
      </c>
      <c r="F11" t="s">
        <v>26</v>
      </c>
      <c r="G11">
        <v>2</v>
      </c>
      <c r="H11">
        <v>500</v>
      </c>
      <c r="I11">
        <v>5</v>
      </c>
      <c r="J11" t="s">
        <v>37</v>
      </c>
      <c r="K11" t="s">
        <v>28</v>
      </c>
      <c r="L11">
        <f t="shared" si="0"/>
        <v>950</v>
      </c>
      <c r="M11" t="str">
        <f t="shared" si="1"/>
        <v>low sales</v>
      </c>
      <c r="N11" t="str">
        <f t="shared" si="2"/>
        <v>LOW SALES</v>
      </c>
      <c r="O11" t="str">
        <f t="shared" si="3"/>
        <v>NO BONUS</v>
      </c>
      <c r="P11" s="1">
        <f t="shared" si="4"/>
        <v>2026</v>
      </c>
      <c r="Q11" s="1">
        <f t="shared" si="5"/>
        <v>2</v>
      </c>
      <c r="R11" s="1" t="str">
        <f t="shared" si="6"/>
        <v>February</v>
      </c>
      <c r="S11" s="1" t="str">
        <f t="shared" si="7"/>
        <v>Q1</v>
      </c>
      <c r="T11" s="1" t="str">
        <f t="shared" si="8"/>
        <v>Saturday</v>
      </c>
      <c r="U11" s="1">
        <f t="shared" si="9"/>
        <v>9</v>
      </c>
    </row>
    <row r="12" spans="1:21" x14ac:dyDescent="0.25">
      <c r="A12">
        <v>1083</v>
      </c>
      <c r="B12" s="9">
        <v>46162</v>
      </c>
      <c r="C12" t="s">
        <v>36</v>
      </c>
      <c r="D12" t="s">
        <v>24</v>
      </c>
      <c r="E12" t="s">
        <v>30</v>
      </c>
      <c r="F12" t="s">
        <v>21</v>
      </c>
      <c r="G12">
        <v>5</v>
      </c>
      <c r="H12">
        <v>250</v>
      </c>
      <c r="I12">
        <v>15</v>
      </c>
      <c r="J12" t="s">
        <v>35</v>
      </c>
      <c r="K12" t="s">
        <v>28</v>
      </c>
      <c r="L12">
        <f t="shared" si="0"/>
        <v>1062.5</v>
      </c>
      <c r="M12" t="str">
        <f t="shared" si="1"/>
        <v>low sales</v>
      </c>
      <c r="N12" t="str">
        <f t="shared" si="2"/>
        <v>LOW SALES</v>
      </c>
      <c r="O12" t="str">
        <f t="shared" si="3"/>
        <v>NO BONUS</v>
      </c>
      <c r="P12" s="1">
        <f t="shared" si="4"/>
        <v>2026</v>
      </c>
      <c r="Q12" s="1">
        <f t="shared" si="5"/>
        <v>5</v>
      </c>
      <c r="R12" s="1" t="str">
        <f t="shared" si="6"/>
        <v>May</v>
      </c>
      <c r="S12" s="1" t="str">
        <f t="shared" si="7"/>
        <v>Q2</v>
      </c>
      <c r="T12" s="1" t="str">
        <f t="shared" si="8"/>
        <v>Wednesday</v>
      </c>
      <c r="U12" s="1">
        <f t="shared" si="9"/>
        <v>21</v>
      </c>
    </row>
    <row r="13" spans="1:21" x14ac:dyDescent="0.25">
      <c r="A13">
        <v>1008</v>
      </c>
      <c r="B13" s="9">
        <v>46058</v>
      </c>
      <c r="C13" t="s">
        <v>36</v>
      </c>
      <c r="D13" t="s">
        <v>24</v>
      </c>
      <c r="E13" t="s">
        <v>30</v>
      </c>
      <c r="F13" t="s">
        <v>21</v>
      </c>
      <c r="G13">
        <v>7</v>
      </c>
      <c r="H13">
        <v>250</v>
      </c>
      <c r="I13">
        <v>20</v>
      </c>
      <c r="J13" t="s">
        <v>37</v>
      </c>
      <c r="K13" t="s">
        <v>31</v>
      </c>
      <c r="L13">
        <f t="shared" si="0"/>
        <v>1400</v>
      </c>
      <c r="M13" t="str">
        <f t="shared" si="1"/>
        <v>low sales</v>
      </c>
      <c r="N13" t="str">
        <f t="shared" si="2"/>
        <v>LOW SALES</v>
      </c>
      <c r="O13" t="str">
        <f t="shared" si="3"/>
        <v>NO BONUS</v>
      </c>
      <c r="P13" s="1">
        <f t="shared" si="4"/>
        <v>2026</v>
      </c>
      <c r="Q13" s="1">
        <f t="shared" si="5"/>
        <v>2</v>
      </c>
      <c r="R13" s="1" t="str">
        <f t="shared" si="6"/>
        <v>February</v>
      </c>
      <c r="S13" s="1" t="str">
        <f t="shared" si="7"/>
        <v>Q1</v>
      </c>
      <c r="T13" s="1" t="str">
        <f t="shared" si="8"/>
        <v>Thursday</v>
      </c>
      <c r="U13" s="1">
        <f t="shared" si="9"/>
        <v>6</v>
      </c>
    </row>
    <row r="14" spans="1:21" x14ac:dyDescent="0.25">
      <c r="A14">
        <v>1016</v>
      </c>
      <c r="B14" s="9">
        <v>46177</v>
      </c>
      <c r="C14" t="s">
        <v>36</v>
      </c>
      <c r="D14" t="s">
        <v>24</v>
      </c>
      <c r="E14" t="s">
        <v>42</v>
      </c>
      <c r="F14" t="s">
        <v>15</v>
      </c>
      <c r="G14">
        <v>4</v>
      </c>
      <c r="H14">
        <v>1000</v>
      </c>
      <c r="I14">
        <v>20</v>
      </c>
      <c r="J14" t="s">
        <v>16</v>
      </c>
      <c r="K14" t="s">
        <v>17</v>
      </c>
      <c r="L14">
        <f t="shared" si="0"/>
        <v>3200</v>
      </c>
      <c r="M14" t="str">
        <f t="shared" si="1"/>
        <v>low sales</v>
      </c>
      <c r="N14" t="str">
        <f t="shared" si="2"/>
        <v>LOW SALES</v>
      </c>
      <c r="O14" t="str">
        <f t="shared" si="3"/>
        <v>NO BONUS</v>
      </c>
      <c r="P14" s="1">
        <f t="shared" si="4"/>
        <v>2026</v>
      </c>
      <c r="Q14" s="1">
        <f t="shared" si="5"/>
        <v>6</v>
      </c>
      <c r="R14" s="1" t="str">
        <f t="shared" si="6"/>
        <v>June</v>
      </c>
      <c r="S14" s="1" t="str">
        <f t="shared" si="7"/>
        <v>Q2</v>
      </c>
      <c r="T14" s="1" t="str">
        <f t="shared" si="8"/>
        <v>Thursday</v>
      </c>
      <c r="U14" s="1">
        <f t="shared" si="9"/>
        <v>23</v>
      </c>
    </row>
    <row r="15" spans="1:21" x14ac:dyDescent="0.25">
      <c r="A15">
        <v>1011</v>
      </c>
      <c r="B15" s="9">
        <v>46161</v>
      </c>
      <c r="C15" t="s">
        <v>36</v>
      </c>
      <c r="D15" t="s">
        <v>24</v>
      </c>
      <c r="E15" t="s">
        <v>14</v>
      </c>
      <c r="F15" t="s">
        <v>15</v>
      </c>
      <c r="G15">
        <v>6</v>
      </c>
      <c r="H15">
        <v>1000</v>
      </c>
      <c r="I15">
        <v>20</v>
      </c>
      <c r="J15" t="s">
        <v>35</v>
      </c>
      <c r="K15" t="s">
        <v>28</v>
      </c>
      <c r="L15">
        <f t="shared" si="0"/>
        <v>4800</v>
      </c>
      <c r="M15" t="str">
        <f t="shared" si="1"/>
        <v>low sales</v>
      </c>
      <c r="N15" t="str">
        <f t="shared" si="2"/>
        <v>LOW SALES</v>
      </c>
      <c r="O15" t="str">
        <f t="shared" si="3"/>
        <v>NO BONUS</v>
      </c>
      <c r="P15" s="1">
        <f t="shared" si="4"/>
        <v>2026</v>
      </c>
      <c r="Q15" s="1">
        <f t="shared" si="5"/>
        <v>5</v>
      </c>
      <c r="R15" s="1" t="str">
        <f t="shared" si="6"/>
        <v>May</v>
      </c>
      <c r="S15" s="1" t="str">
        <f t="shared" si="7"/>
        <v>Q2</v>
      </c>
      <c r="T15" s="1" t="str">
        <f t="shared" si="8"/>
        <v>Tuesday</v>
      </c>
      <c r="U15" s="1">
        <f t="shared" si="9"/>
        <v>21</v>
      </c>
    </row>
    <row r="16" spans="1:21" x14ac:dyDescent="0.25">
      <c r="A16">
        <v>1023</v>
      </c>
      <c r="B16" s="9">
        <v>46196</v>
      </c>
      <c r="C16" t="s">
        <v>44</v>
      </c>
      <c r="D16" t="s">
        <v>24</v>
      </c>
      <c r="E16" t="s">
        <v>20</v>
      </c>
      <c r="F16" t="s">
        <v>21</v>
      </c>
      <c r="G16">
        <v>3</v>
      </c>
      <c r="H16">
        <v>500</v>
      </c>
      <c r="I16">
        <v>15</v>
      </c>
      <c r="J16" t="s">
        <v>37</v>
      </c>
      <c r="K16" t="s">
        <v>31</v>
      </c>
      <c r="L16">
        <f t="shared" si="0"/>
        <v>1275</v>
      </c>
      <c r="M16" t="str">
        <f t="shared" si="1"/>
        <v>low sales</v>
      </c>
      <c r="N16" t="str">
        <f t="shared" si="2"/>
        <v>LOW SALES</v>
      </c>
      <c r="O16" t="str">
        <f t="shared" si="3"/>
        <v>NO BONUS</v>
      </c>
      <c r="P16" s="1">
        <f t="shared" si="4"/>
        <v>2026</v>
      </c>
      <c r="Q16" s="1">
        <f t="shared" si="5"/>
        <v>6</v>
      </c>
      <c r="R16" s="1" t="str">
        <f t="shared" si="6"/>
        <v>June</v>
      </c>
      <c r="S16" s="1" t="str">
        <f t="shared" si="7"/>
        <v>Q2</v>
      </c>
      <c r="T16" s="1" t="str">
        <f t="shared" si="8"/>
        <v>Tuesday</v>
      </c>
      <c r="U16" s="1">
        <f t="shared" si="9"/>
        <v>26</v>
      </c>
    </row>
    <row r="17" spans="1:21" x14ac:dyDescent="0.25">
      <c r="A17">
        <v>1021</v>
      </c>
      <c r="B17" s="9">
        <v>46153</v>
      </c>
      <c r="C17" t="s">
        <v>32</v>
      </c>
      <c r="D17" t="s">
        <v>24</v>
      </c>
      <c r="E17" t="s">
        <v>25</v>
      </c>
      <c r="F17" t="s">
        <v>26</v>
      </c>
      <c r="G17">
        <v>9</v>
      </c>
      <c r="H17">
        <v>750</v>
      </c>
      <c r="I17">
        <v>20</v>
      </c>
      <c r="J17" t="s">
        <v>37</v>
      </c>
      <c r="K17" t="s">
        <v>31</v>
      </c>
      <c r="L17">
        <f t="shared" si="0"/>
        <v>5400</v>
      </c>
      <c r="M17" t="str">
        <f t="shared" si="1"/>
        <v>low sales</v>
      </c>
      <c r="N17" t="str">
        <f t="shared" si="2"/>
        <v>LOW SALES</v>
      </c>
      <c r="O17" t="str">
        <f t="shared" si="3"/>
        <v>NO BONUS</v>
      </c>
      <c r="P17" s="1">
        <f t="shared" si="4"/>
        <v>2026</v>
      </c>
      <c r="Q17" s="1">
        <f t="shared" si="5"/>
        <v>5</v>
      </c>
      <c r="R17" s="1" t="str">
        <f t="shared" si="6"/>
        <v>May</v>
      </c>
      <c r="S17" s="1" t="str">
        <f t="shared" si="7"/>
        <v>Q2</v>
      </c>
      <c r="T17" s="1" t="str">
        <f t="shared" si="8"/>
        <v>Monday</v>
      </c>
      <c r="U17" s="1">
        <f t="shared" si="9"/>
        <v>20</v>
      </c>
    </row>
    <row r="18" spans="1:21" x14ac:dyDescent="0.25">
      <c r="A18">
        <v>1074</v>
      </c>
      <c r="B18" s="9">
        <v>46093</v>
      </c>
      <c r="C18" t="s">
        <v>32</v>
      </c>
      <c r="D18" t="s">
        <v>24</v>
      </c>
      <c r="E18" t="s">
        <v>34</v>
      </c>
      <c r="F18" t="s">
        <v>21</v>
      </c>
      <c r="G18">
        <v>8</v>
      </c>
      <c r="H18">
        <v>750</v>
      </c>
      <c r="I18">
        <v>0</v>
      </c>
      <c r="J18" t="s">
        <v>37</v>
      </c>
      <c r="K18" t="s">
        <v>28</v>
      </c>
      <c r="L18">
        <f t="shared" si="0"/>
        <v>6000</v>
      </c>
      <c r="M18" t="str">
        <f t="shared" si="1"/>
        <v>low sales</v>
      </c>
      <c r="N18" t="str">
        <f t="shared" si="2"/>
        <v>average</v>
      </c>
      <c r="O18" t="str">
        <f t="shared" si="3"/>
        <v>NO BONUS</v>
      </c>
      <c r="P18" s="1">
        <f t="shared" si="4"/>
        <v>2026</v>
      </c>
      <c r="Q18" s="1">
        <f t="shared" si="5"/>
        <v>3</v>
      </c>
      <c r="R18" s="1" t="str">
        <f t="shared" si="6"/>
        <v>March</v>
      </c>
      <c r="S18" s="1" t="str">
        <f t="shared" si="7"/>
        <v>Q1</v>
      </c>
      <c r="T18" s="1" t="str">
        <f t="shared" si="8"/>
        <v>Thursday</v>
      </c>
      <c r="U18" s="1">
        <f t="shared" si="9"/>
        <v>11</v>
      </c>
    </row>
    <row r="19" spans="1:21" x14ac:dyDescent="0.25">
      <c r="A19">
        <v>1040</v>
      </c>
      <c r="B19" s="9">
        <v>46044</v>
      </c>
      <c r="C19" t="s">
        <v>32</v>
      </c>
      <c r="D19" t="s">
        <v>24</v>
      </c>
      <c r="E19" t="s">
        <v>20</v>
      </c>
      <c r="F19" t="s">
        <v>21</v>
      </c>
      <c r="G19">
        <v>10</v>
      </c>
      <c r="H19">
        <v>2500</v>
      </c>
      <c r="I19">
        <v>0</v>
      </c>
      <c r="J19" t="s">
        <v>37</v>
      </c>
      <c r="K19" t="s">
        <v>28</v>
      </c>
      <c r="L19">
        <f t="shared" si="0"/>
        <v>25000</v>
      </c>
      <c r="M19" t="str">
        <f t="shared" si="1"/>
        <v>high sales</v>
      </c>
      <c r="N19" t="str">
        <f t="shared" si="2"/>
        <v>good</v>
      </c>
      <c r="O19" t="str">
        <f t="shared" si="3"/>
        <v>NO BONUS</v>
      </c>
      <c r="P19" s="1">
        <f t="shared" si="4"/>
        <v>2026</v>
      </c>
      <c r="Q19" s="1">
        <f t="shared" si="5"/>
        <v>1</v>
      </c>
      <c r="R19" s="1" t="str">
        <f t="shared" si="6"/>
        <v>January</v>
      </c>
      <c r="S19" s="1" t="str">
        <f t="shared" si="7"/>
        <v>Q1</v>
      </c>
      <c r="T19" s="1" t="str">
        <f t="shared" si="8"/>
        <v>Thursday</v>
      </c>
      <c r="U19" s="1">
        <f t="shared" si="9"/>
        <v>4</v>
      </c>
    </row>
    <row r="20" spans="1:21" x14ac:dyDescent="0.25">
      <c r="A20">
        <v>1031</v>
      </c>
      <c r="B20" s="9">
        <v>46154</v>
      </c>
      <c r="C20" t="s">
        <v>32</v>
      </c>
      <c r="D20" t="s">
        <v>24</v>
      </c>
      <c r="E20" t="s">
        <v>30</v>
      </c>
      <c r="F20" t="s">
        <v>21</v>
      </c>
      <c r="G20">
        <v>8</v>
      </c>
      <c r="H20">
        <v>12000</v>
      </c>
      <c r="I20">
        <v>0</v>
      </c>
      <c r="J20" t="s">
        <v>35</v>
      </c>
      <c r="K20" t="s">
        <v>17</v>
      </c>
      <c r="L20">
        <f t="shared" si="0"/>
        <v>96000</v>
      </c>
      <c r="M20" t="str">
        <f t="shared" si="1"/>
        <v>high sales</v>
      </c>
      <c r="N20" t="str">
        <f t="shared" si="2"/>
        <v>good</v>
      </c>
      <c r="O20" t="str">
        <f t="shared" si="3"/>
        <v>NO BONUS</v>
      </c>
      <c r="P20" s="1">
        <f t="shared" si="4"/>
        <v>2026</v>
      </c>
      <c r="Q20" s="1">
        <f t="shared" si="5"/>
        <v>5</v>
      </c>
      <c r="R20" s="1" t="str">
        <f t="shared" si="6"/>
        <v>May</v>
      </c>
      <c r="S20" s="1" t="str">
        <f t="shared" si="7"/>
        <v>Q2</v>
      </c>
      <c r="T20" s="1" t="str">
        <f t="shared" si="8"/>
        <v>Tuesday</v>
      </c>
      <c r="U20" s="1">
        <f t="shared" si="9"/>
        <v>20</v>
      </c>
    </row>
    <row r="21" spans="1:21" x14ac:dyDescent="0.25">
      <c r="A21">
        <v>1004</v>
      </c>
      <c r="B21" s="9">
        <v>46162</v>
      </c>
      <c r="C21" t="s">
        <v>29</v>
      </c>
      <c r="D21" t="s">
        <v>24</v>
      </c>
      <c r="E21" t="s">
        <v>30</v>
      </c>
      <c r="F21" t="s">
        <v>21</v>
      </c>
      <c r="G21">
        <v>8</v>
      </c>
      <c r="H21">
        <v>500</v>
      </c>
      <c r="I21">
        <v>10</v>
      </c>
      <c r="J21" t="s">
        <v>22</v>
      </c>
      <c r="K21" t="s">
        <v>31</v>
      </c>
      <c r="L21">
        <f t="shared" si="0"/>
        <v>3600</v>
      </c>
      <c r="M21" t="str">
        <f t="shared" si="1"/>
        <v>low sales</v>
      </c>
      <c r="N21" t="str">
        <f t="shared" si="2"/>
        <v>LOW SALES</v>
      </c>
      <c r="O21" t="str">
        <f t="shared" si="3"/>
        <v>NO BONUS</v>
      </c>
      <c r="P21" s="1">
        <f t="shared" si="4"/>
        <v>2026</v>
      </c>
      <c r="Q21" s="1">
        <f t="shared" si="5"/>
        <v>5</v>
      </c>
      <c r="R21" s="1" t="str">
        <f t="shared" si="6"/>
        <v>May</v>
      </c>
      <c r="S21" s="1" t="str">
        <f t="shared" si="7"/>
        <v>Q2</v>
      </c>
      <c r="T21" s="1" t="str">
        <f t="shared" si="8"/>
        <v>Wednesday</v>
      </c>
      <c r="U21" s="1">
        <f t="shared" si="9"/>
        <v>21</v>
      </c>
    </row>
    <row r="22" spans="1:21" x14ac:dyDescent="0.25">
      <c r="A22">
        <v>1043</v>
      </c>
      <c r="B22" s="9">
        <v>46128</v>
      </c>
      <c r="C22" t="s">
        <v>29</v>
      </c>
      <c r="D22" t="s">
        <v>24</v>
      </c>
      <c r="E22" t="s">
        <v>42</v>
      </c>
      <c r="F22" t="s">
        <v>15</v>
      </c>
      <c r="G22">
        <v>8</v>
      </c>
      <c r="H22">
        <v>1000</v>
      </c>
      <c r="I22">
        <v>0</v>
      </c>
      <c r="J22" t="s">
        <v>16</v>
      </c>
      <c r="K22" t="s">
        <v>28</v>
      </c>
      <c r="L22">
        <f t="shared" si="0"/>
        <v>8000</v>
      </c>
      <c r="M22" t="str">
        <f t="shared" si="1"/>
        <v>low sales</v>
      </c>
      <c r="N22" t="str">
        <f t="shared" si="2"/>
        <v>average</v>
      </c>
      <c r="O22" t="str">
        <f t="shared" si="3"/>
        <v>NO BONUS</v>
      </c>
      <c r="P22" s="1">
        <f t="shared" si="4"/>
        <v>2026</v>
      </c>
      <c r="Q22" s="1">
        <f t="shared" si="5"/>
        <v>4</v>
      </c>
      <c r="R22" s="1" t="str">
        <f t="shared" si="6"/>
        <v>April</v>
      </c>
      <c r="S22" s="1" t="str">
        <f t="shared" si="7"/>
        <v>Q2</v>
      </c>
      <c r="T22" s="1" t="str">
        <f t="shared" si="8"/>
        <v>Thursday</v>
      </c>
      <c r="U22" s="1">
        <f t="shared" si="9"/>
        <v>16</v>
      </c>
    </row>
    <row r="23" spans="1:21" x14ac:dyDescent="0.25">
      <c r="A23">
        <v>1007</v>
      </c>
      <c r="B23" s="9">
        <v>46034</v>
      </c>
      <c r="C23" t="s">
        <v>12</v>
      </c>
      <c r="D23" t="s">
        <v>24</v>
      </c>
      <c r="E23" t="s">
        <v>34</v>
      </c>
      <c r="F23" t="s">
        <v>21</v>
      </c>
      <c r="G23">
        <v>1</v>
      </c>
      <c r="H23">
        <v>1000</v>
      </c>
      <c r="I23">
        <v>20</v>
      </c>
      <c r="J23" t="s">
        <v>27</v>
      </c>
      <c r="K23" t="s">
        <v>28</v>
      </c>
      <c r="L23">
        <f t="shared" si="0"/>
        <v>800</v>
      </c>
      <c r="M23" t="str">
        <f t="shared" si="1"/>
        <v>low sales</v>
      </c>
      <c r="N23" t="str">
        <f t="shared" si="2"/>
        <v>LOW SALES</v>
      </c>
      <c r="O23" t="str">
        <f t="shared" si="3"/>
        <v>NO BONUS</v>
      </c>
      <c r="P23" s="1">
        <f t="shared" si="4"/>
        <v>2026</v>
      </c>
      <c r="Q23" s="1">
        <f t="shared" si="5"/>
        <v>1</v>
      </c>
      <c r="R23" s="1" t="str">
        <f t="shared" si="6"/>
        <v>January</v>
      </c>
      <c r="S23" s="1" t="str">
        <f t="shared" si="7"/>
        <v>Q1</v>
      </c>
      <c r="T23" s="1" t="str">
        <f t="shared" si="8"/>
        <v>Monday</v>
      </c>
      <c r="U23" s="1">
        <f t="shared" si="9"/>
        <v>3</v>
      </c>
    </row>
    <row r="24" spans="1:21" x14ac:dyDescent="0.25">
      <c r="A24">
        <v>1055</v>
      </c>
      <c r="B24" s="9">
        <v>46122</v>
      </c>
      <c r="C24" t="s">
        <v>12</v>
      </c>
      <c r="D24" t="s">
        <v>24</v>
      </c>
      <c r="E24" t="s">
        <v>25</v>
      </c>
      <c r="F24" t="s">
        <v>26</v>
      </c>
      <c r="G24">
        <v>7</v>
      </c>
      <c r="H24">
        <v>1000</v>
      </c>
      <c r="I24">
        <v>15</v>
      </c>
      <c r="J24" t="s">
        <v>37</v>
      </c>
      <c r="K24" t="s">
        <v>17</v>
      </c>
      <c r="L24">
        <f t="shared" si="0"/>
        <v>5950</v>
      </c>
      <c r="M24" t="str">
        <f t="shared" si="1"/>
        <v>low sales</v>
      </c>
      <c r="N24" t="str">
        <f t="shared" si="2"/>
        <v>LOW SALES</v>
      </c>
      <c r="O24" t="str">
        <f t="shared" si="3"/>
        <v>NO BONUS</v>
      </c>
      <c r="P24" s="1">
        <f t="shared" si="4"/>
        <v>2026</v>
      </c>
      <c r="Q24" s="1">
        <f t="shared" si="5"/>
        <v>4</v>
      </c>
      <c r="R24" s="1" t="str">
        <f t="shared" si="6"/>
        <v>April</v>
      </c>
      <c r="S24" s="1" t="str">
        <f t="shared" si="7"/>
        <v>Q2</v>
      </c>
      <c r="T24" s="1" t="str">
        <f t="shared" si="8"/>
        <v>Friday</v>
      </c>
      <c r="U24" s="1">
        <f t="shared" si="9"/>
        <v>15</v>
      </c>
    </row>
    <row r="25" spans="1:21" x14ac:dyDescent="0.25">
      <c r="A25">
        <v>1088</v>
      </c>
      <c r="B25" s="9">
        <v>46025</v>
      </c>
      <c r="C25" t="s">
        <v>12</v>
      </c>
      <c r="D25" t="s">
        <v>24</v>
      </c>
      <c r="E25" t="s">
        <v>42</v>
      </c>
      <c r="F25" t="s">
        <v>15</v>
      </c>
      <c r="G25">
        <v>10</v>
      </c>
      <c r="H25">
        <v>12000</v>
      </c>
      <c r="I25">
        <v>15</v>
      </c>
      <c r="J25" t="s">
        <v>37</v>
      </c>
      <c r="K25" t="s">
        <v>31</v>
      </c>
      <c r="L25">
        <f t="shared" si="0"/>
        <v>102000</v>
      </c>
      <c r="M25" t="str">
        <f t="shared" si="1"/>
        <v>high sales</v>
      </c>
      <c r="N25" t="str">
        <f t="shared" si="2"/>
        <v>good</v>
      </c>
      <c r="O25" t="str">
        <f t="shared" si="3"/>
        <v>NO BONUS</v>
      </c>
      <c r="P25" s="1">
        <f t="shared" si="4"/>
        <v>2026</v>
      </c>
      <c r="Q25" s="1">
        <f t="shared" si="5"/>
        <v>1</v>
      </c>
      <c r="R25" s="1" t="str">
        <f t="shared" si="6"/>
        <v>January</v>
      </c>
      <c r="S25" s="1" t="str">
        <f t="shared" si="7"/>
        <v>Q1</v>
      </c>
      <c r="T25" s="1" t="str">
        <f t="shared" si="8"/>
        <v>Saturday</v>
      </c>
      <c r="U25" s="1">
        <f t="shared" si="9"/>
        <v>1</v>
      </c>
    </row>
    <row r="26" spans="1:21" x14ac:dyDescent="0.25">
      <c r="A26">
        <v>1003</v>
      </c>
      <c r="B26" s="9">
        <v>46191</v>
      </c>
      <c r="C26" t="s">
        <v>23</v>
      </c>
      <c r="D26" t="s">
        <v>24</v>
      </c>
      <c r="E26" t="s">
        <v>25</v>
      </c>
      <c r="F26" t="s">
        <v>26</v>
      </c>
      <c r="G26">
        <v>9</v>
      </c>
      <c r="H26">
        <v>1000</v>
      </c>
      <c r="I26">
        <v>10</v>
      </c>
      <c r="J26" t="s">
        <v>27</v>
      </c>
      <c r="K26" t="s">
        <v>28</v>
      </c>
      <c r="L26">
        <f t="shared" si="0"/>
        <v>8100</v>
      </c>
      <c r="M26" t="str">
        <f t="shared" si="1"/>
        <v>low sales</v>
      </c>
      <c r="N26" t="str">
        <f t="shared" si="2"/>
        <v>average</v>
      </c>
      <c r="O26" t="str">
        <f t="shared" si="3"/>
        <v>NO BONUS</v>
      </c>
      <c r="P26" s="1">
        <f t="shared" si="4"/>
        <v>2026</v>
      </c>
      <c r="Q26" s="1">
        <f t="shared" si="5"/>
        <v>6</v>
      </c>
      <c r="R26" s="1" t="str">
        <f t="shared" si="6"/>
        <v>June</v>
      </c>
      <c r="S26" s="1" t="str">
        <f t="shared" si="7"/>
        <v>Q2</v>
      </c>
      <c r="T26" s="1" t="str">
        <f t="shared" si="8"/>
        <v>Thursday</v>
      </c>
      <c r="U26" s="1">
        <f t="shared" si="9"/>
        <v>25</v>
      </c>
    </row>
    <row r="27" spans="1:21" x14ac:dyDescent="0.25">
      <c r="A27">
        <v>1046</v>
      </c>
      <c r="B27" s="9">
        <v>46026</v>
      </c>
      <c r="C27" t="s">
        <v>18</v>
      </c>
      <c r="D27" t="s">
        <v>13</v>
      </c>
      <c r="E27" t="s">
        <v>34</v>
      </c>
      <c r="F27" t="s">
        <v>21</v>
      </c>
      <c r="G27">
        <v>1</v>
      </c>
      <c r="H27">
        <v>500</v>
      </c>
      <c r="I27">
        <v>10</v>
      </c>
      <c r="J27" t="s">
        <v>22</v>
      </c>
      <c r="K27" t="s">
        <v>17</v>
      </c>
      <c r="L27">
        <f t="shared" si="0"/>
        <v>450</v>
      </c>
      <c r="M27" t="str">
        <f t="shared" si="1"/>
        <v>low sales</v>
      </c>
      <c r="N27" t="str">
        <f t="shared" si="2"/>
        <v>LOW SALES</v>
      </c>
      <c r="O27" t="str">
        <f t="shared" si="3"/>
        <v>NO BONUS</v>
      </c>
      <c r="P27" s="1">
        <f t="shared" si="4"/>
        <v>2026</v>
      </c>
      <c r="Q27" s="1">
        <f t="shared" si="5"/>
        <v>1</v>
      </c>
      <c r="R27" s="1" t="str">
        <f t="shared" si="6"/>
        <v>January</v>
      </c>
      <c r="S27" s="1" t="str">
        <f t="shared" si="7"/>
        <v>Q1</v>
      </c>
      <c r="T27" s="1" t="str">
        <f t="shared" si="8"/>
        <v>Sunday</v>
      </c>
      <c r="U27" s="1">
        <f t="shared" si="9"/>
        <v>2</v>
      </c>
    </row>
    <row r="28" spans="1:21" x14ac:dyDescent="0.25">
      <c r="A28">
        <v>1099</v>
      </c>
      <c r="B28" s="9">
        <v>46070</v>
      </c>
      <c r="C28" t="s">
        <v>18</v>
      </c>
      <c r="D28" t="s">
        <v>13</v>
      </c>
      <c r="E28" t="s">
        <v>25</v>
      </c>
      <c r="F28" t="s">
        <v>26</v>
      </c>
      <c r="G28">
        <v>5</v>
      </c>
      <c r="H28">
        <v>1000</v>
      </c>
      <c r="I28">
        <v>10</v>
      </c>
      <c r="J28" t="s">
        <v>27</v>
      </c>
      <c r="K28" t="s">
        <v>17</v>
      </c>
      <c r="L28">
        <f t="shared" si="0"/>
        <v>4500</v>
      </c>
      <c r="M28" t="str">
        <f t="shared" si="1"/>
        <v>low sales</v>
      </c>
      <c r="N28" t="str">
        <f t="shared" si="2"/>
        <v>LOW SALES</v>
      </c>
      <c r="O28" t="str">
        <f t="shared" si="3"/>
        <v>NO BONUS</v>
      </c>
      <c r="P28" s="1">
        <f t="shared" si="4"/>
        <v>2026</v>
      </c>
      <c r="Q28" s="1">
        <f t="shared" si="5"/>
        <v>2</v>
      </c>
      <c r="R28" s="1" t="str">
        <f t="shared" si="6"/>
        <v>February</v>
      </c>
      <c r="S28" s="1" t="str">
        <f t="shared" si="7"/>
        <v>Q1</v>
      </c>
      <c r="T28" s="1" t="str">
        <f t="shared" si="8"/>
        <v>Tuesday</v>
      </c>
      <c r="U28" s="1">
        <f t="shared" si="9"/>
        <v>8</v>
      </c>
    </row>
    <row r="29" spans="1:21" x14ac:dyDescent="0.25">
      <c r="A29">
        <v>1095</v>
      </c>
      <c r="B29" s="9">
        <v>46197</v>
      </c>
      <c r="C29" t="s">
        <v>18</v>
      </c>
      <c r="D29" t="s">
        <v>13</v>
      </c>
      <c r="E29" t="s">
        <v>42</v>
      </c>
      <c r="F29" t="s">
        <v>15</v>
      </c>
      <c r="G29">
        <v>5</v>
      </c>
      <c r="H29">
        <v>12000</v>
      </c>
      <c r="I29">
        <v>0</v>
      </c>
      <c r="J29" t="s">
        <v>37</v>
      </c>
      <c r="K29" t="s">
        <v>17</v>
      </c>
      <c r="L29">
        <f t="shared" si="0"/>
        <v>60000</v>
      </c>
      <c r="M29" t="str">
        <f t="shared" si="1"/>
        <v>high sales</v>
      </c>
      <c r="N29" t="str">
        <f t="shared" si="2"/>
        <v>good</v>
      </c>
      <c r="O29" t="str">
        <f t="shared" si="3"/>
        <v>NO BONUS</v>
      </c>
      <c r="P29" s="1">
        <f t="shared" si="4"/>
        <v>2026</v>
      </c>
      <c r="Q29" s="1">
        <f t="shared" si="5"/>
        <v>6</v>
      </c>
      <c r="R29" s="1" t="str">
        <f t="shared" si="6"/>
        <v>June</v>
      </c>
      <c r="S29" s="1" t="str">
        <f t="shared" si="7"/>
        <v>Q2</v>
      </c>
      <c r="T29" s="1" t="str">
        <f t="shared" si="8"/>
        <v>Wednesday</v>
      </c>
      <c r="U29" s="1">
        <f t="shared" si="9"/>
        <v>26</v>
      </c>
    </row>
    <row r="30" spans="1:21" x14ac:dyDescent="0.25">
      <c r="A30">
        <v>1072</v>
      </c>
      <c r="B30" s="9">
        <v>46038</v>
      </c>
      <c r="C30" t="s">
        <v>43</v>
      </c>
      <c r="D30" t="s">
        <v>13</v>
      </c>
      <c r="E30" t="s">
        <v>40</v>
      </c>
      <c r="F30" t="s">
        <v>26</v>
      </c>
      <c r="G30">
        <v>6</v>
      </c>
      <c r="H30">
        <v>750</v>
      </c>
      <c r="I30">
        <v>20</v>
      </c>
      <c r="J30" t="s">
        <v>35</v>
      </c>
      <c r="K30" t="s">
        <v>17</v>
      </c>
      <c r="L30">
        <f t="shared" si="0"/>
        <v>3600</v>
      </c>
      <c r="M30" t="str">
        <f t="shared" si="1"/>
        <v>low sales</v>
      </c>
      <c r="N30" t="str">
        <f t="shared" si="2"/>
        <v>LOW SALES</v>
      </c>
      <c r="O30" t="str">
        <f t="shared" si="3"/>
        <v>NO BONUS</v>
      </c>
      <c r="P30" s="1">
        <f t="shared" si="4"/>
        <v>2026</v>
      </c>
      <c r="Q30" s="1">
        <f t="shared" si="5"/>
        <v>1</v>
      </c>
      <c r="R30" s="1" t="str">
        <f t="shared" si="6"/>
        <v>January</v>
      </c>
      <c r="S30" s="1" t="str">
        <f t="shared" si="7"/>
        <v>Q1</v>
      </c>
      <c r="T30" s="1" t="str">
        <f t="shared" si="8"/>
        <v>Friday</v>
      </c>
      <c r="U30" s="1">
        <f t="shared" si="9"/>
        <v>3</v>
      </c>
    </row>
    <row r="31" spans="1:21" x14ac:dyDescent="0.25">
      <c r="A31">
        <v>1080</v>
      </c>
      <c r="B31" s="9">
        <v>46149</v>
      </c>
      <c r="C31" t="s">
        <v>43</v>
      </c>
      <c r="D31" t="s">
        <v>13</v>
      </c>
      <c r="E31" t="s">
        <v>25</v>
      </c>
      <c r="F31" t="s">
        <v>26</v>
      </c>
      <c r="G31">
        <v>10</v>
      </c>
      <c r="H31">
        <v>1500</v>
      </c>
      <c r="I31">
        <v>0</v>
      </c>
      <c r="J31" t="s">
        <v>37</v>
      </c>
      <c r="K31" t="s">
        <v>17</v>
      </c>
      <c r="L31">
        <f t="shared" si="0"/>
        <v>15000</v>
      </c>
      <c r="M31" t="str">
        <f t="shared" si="1"/>
        <v>low sales</v>
      </c>
      <c r="N31" t="str">
        <f t="shared" si="2"/>
        <v>good</v>
      </c>
      <c r="O31" t="str">
        <f t="shared" si="3"/>
        <v>NO BONUS</v>
      </c>
      <c r="P31" s="1">
        <f t="shared" si="4"/>
        <v>2026</v>
      </c>
      <c r="Q31" s="1">
        <f t="shared" si="5"/>
        <v>5</v>
      </c>
      <c r="R31" s="1" t="str">
        <f t="shared" si="6"/>
        <v>May</v>
      </c>
      <c r="S31" s="1" t="str">
        <f t="shared" si="7"/>
        <v>Q2</v>
      </c>
      <c r="T31" s="1" t="str">
        <f t="shared" si="8"/>
        <v>Thursday</v>
      </c>
      <c r="U31" s="1">
        <f t="shared" si="9"/>
        <v>19</v>
      </c>
    </row>
    <row r="32" spans="1:21" x14ac:dyDescent="0.25">
      <c r="A32">
        <v>1050</v>
      </c>
      <c r="B32" s="9">
        <v>46163</v>
      </c>
      <c r="C32" t="s">
        <v>36</v>
      </c>
      <c r="D32" t="s">
        <v>13</v>
      </c>
      <c r="E32" t="s">
        <v>34</v>
      </c>
      <c r="F32" t="s">
        <v>21</v>
      </c>
      <c r="G32">
        <v>6</v>
      </c>
      <c r="H32">
        <v>1000</v>
      </c>
      <c r="I32">
        <v>20</v>
      </c>
      <c r="J32" t="s">
        <v>27</v>
      </c>
      <c r="K32" t="s">
        <v>28</v>
      </c>
      <c r="L32">
        <f t="shared" si="0"/>
        <v>4800</v>
      </c>
      <c r="M32" t="str">
        <f t="shared" si="1"/>
        <v>low sales</v>
      </c>
      <c r="N32" t="str">
        <f t="shared" si="2"/>
        <v>LOW SALES</v>
      </c>
      <c r="O32" t="str">
        <f t="shared" si="3"/>
        <v>NO BONUS</v>
      </c>
      <c r="P32" s="1">
        <f t="shared" si="4"/>
        <v>2026</v>
      </c>
      <c r="Q32" s="1">
        <f t="shared" si="5"/>
        <v>5</v>
      </c>
      <c r="R32" s="1" t="str">
        <f t="shared" si="6"/>
        <v>May</v>
      </c>
      <c r="S32" s="1" t="str">
        <f t="shared" si="7"/>
        <v>Q2</v>
      </c>
      <c r="T32" s="1" t="str">
        <f t="shared" si="8"/>
        <v>Thursday</v>
      </c>
      <c r="U32" s="1">
        <f t="shared" si="9"/>
        <v>21</v>
      </c>
    </row>
    <row r="33" spans="1:21" x14ac:dyDescent="0.25">
      <c r="A33">
        <v>1059</v>
      </c>
      <c r="B33" s="9">
        <v>46048</v>
      </c>
      <c r="C33" t="s">
        <v>32</v>
      </c>
      <c r="D33" t="s">
        <v>13</v>
      </c>
      <c r="E33" t="s">
        <v>30</v>
      </c>
      <c r="F33" t="s">
        <v>21</v>
      </c>
      <c r="G33">
        <v>1</v>
      </c>
      <c r="H33">
        <v>500</v>
      </c>
      <c r="I33">
        <v>5</v>
      </c>
      <c r="J33" t="s">
        <v>27</v>
      </c>
      <c r="K33" t="s">
        <v>39</v>
      </c>
      <c r="L33">
        <f t="shared" si="0"/>
        <v>475</v>
      </c>
      <c r="M33" t="str">
        <f t="shared" si="1"/>
        <v>low sales</v>
      </c>
      <c r="N33" t="str">
        <f t="shared" si="2"/>
        <v>LOW SALES</v>
      </c>
      <c r="O33" t="str">
        <f t="shared" si="3"/>
        <v>NO BONUS</v>
      </c>
      <c r="P33" s="1">
        <f t="shared" si="4"/>
        <v>2026</v>
      </c>
      <c r="Q33" s="1">
        <f t="shared" si="5"/>
        <v>1</v>
      </c>
      <c r="R33" s="1" t="str">
        <f t="shared" si="6"/>
        <v>January</v>
      </c>
      <c r="S33" s="1" t="str">
        <f t="shared" si="7"/>
        <v>Q1</v>
      </c>
      <c r="T33" s="1" t="str">
        <f t="shared" si="8"/>
        <v>Monday</v>
      </c>
      <c r="U33" s="1">
        <f t="shared" si="9"/>
        <v>5</v>
      </c>
    </row>
    <row r="34" spans="1:21" x14ac:dyDescent="0.25">
      <c r="A34">
        <v>1087</v>
      </c>
      <c r="B34" s="9">
        <v>46114</v>
      </c>
      <c r="C34" t="s">
        <v>29</v>
      </c>
      <c r="D34" t="s">
        <v>13</v>
      </c>
      <c r="E34" t="s">
        <v>14</v>
      </c>
      <c r="F34" t="s">
        <v>15</v>
      </c>
      <c r="G34">
        <v>2</v>
      </c>
      <c r="H34">
        <v>1500</v>
      </c>
      <c r="I34">
        <v>20</v>
      </c>
      <c r="J34" t="s">
        <v>35</v>
      </c>
      <c r="K34" t="s">
        <v>17</v>
      </c>
      <c r="L34">
        <f t="shared" ref="L34:L65" si="10">G34*H34*(1-I34/100)</f>
        <v>2400</v>
      </c>
      <c r="M34" t="str">
        <f t="shared" ref="M34:M65" si="11">IF(L34&gt;=20000,"high sales","low sales")</f>
        <v>low sales</v>
      </c>
      <c r="N34" t="str">
        <f t="shared" ref="N34:N65" si="12">IF(L34&gt;=115000,"Excellent",IF(L34&gt;=12000,"good",IF(L34&gt;=6000,"average","LOW SALES")))</f>
        <v>LOW SALES</v>
      </c>
      <c r="O34" t="str">
        <f t="shared" ref="O34:O65" si="13">IF(AND(L34&gt;=9000,D34="SURAT"),"BONUS","NO BONUS")</f>
        <v>NO BONUS</v>
      </c>
      <c r="P34" s="1">
        <f t="shared" ref="P34:P65" si="14">YEAR(B34)</f>
        <v>2026</v>
      </c>
      <c r="Q34" s="1">
        <f t="shared" ref="Q34:Q65" si="15">MONTH(B34)</f>
        <v>4</v>
      </c>
      <c r="R34" s="1" t="str">
        <f t="shared" ref="R34:R65" si="16">TEXT(B34,"mmmm")</f>
        <v>April</v>
      </c>
      <c r="S34" s="1" t="str">
        <f t="shared" ref="S34:S65" si="17">"Q"&amp;ROUNDUP(MONTH(B34)/3,0)</f>
        <v>Q2</v>
      </c>
      <c r="T34" s="1" t="str">
        <f t="shared" ref="T34:T65" si="18">TEXT(B34,"dddd")</f>
        <v>Thursday</v>
      </c>
      <c r="U34" s="1">
        <f t="shared" ref="U34:U65" si="19">WEEKNUM(B34)</f>
        <v>14</v>
      </c>
    </row>
    <row r="35" spans="1:21" x14ac:dyDescent="0.25">
      <c r="A35">
        <v>1030</v>
      </c>
      <c r="B35" s="9">
        <v>46149</v>
      </c>
      <c r="C35" t="s">
        <v>29</v>
      </c>
      <c r="D35" t="s">
        <v>13</v>
      </c>
      <c r="E35" t="s">
        <v>40</v>
      </c>
      <c r="F35" t="s">
        <v>26</v>
      </c>
      <c r="G35">
        <v>5</v>
      </c>
      <c r="H35">
        <v>1000</v>
      </c>
      <c r="I35">
        <v>10</v>
      </c>
      <c r="J35" t="s">
        <v>22</v>
      </c>
      <c r="K35" t="s">
        <v>17</v>
      </c>
      <c r="L35">
        <f t="shared" si="10"/>
        <v>4500</v>
      </c>
      <c r="M35" t="str">
        <f t="shared" si="11"/>
        <v>low sales</v>
      </c>
      <c r="N35" t="str">
        <f t="shared" si="12"/>
        <v>LOW SALES</v>
      </c>
      <c r="O35" t="str">
        <f t="shared" si="13"/>
        <v>NO BONUS</v>
      </c>
      <c r="P35" s="1">
        <f t="shared" si="14"/>
        <v>2026</v>
      </c>
      <c r="Q35" s="1">
        <f t="shared" si="15"/>
        <v>5</v>
      </c>
      <c r="R35" s="1" t="str">
        <f t="shared" si="16"/>
        <v>May</v>
      </c>
      <c r="S35" s="1" t="str">
        <f t="shared" si="17"/>
        <v>Q2</v>
      </c>
      <c r="T35" s="1" t="str">
        <f t="shared" si="18"/>
        <v>Thursday</v>
      </c>
      <c r="U35" s="1">
        <f t="shared" si="19"/>
        <v>19</v>
      </c>
    </row>
    <row r="36" spans="1:21" x14ac:dyDescent="0.25">
      <c r="A36">
        <v>1033</v>
      </c>
      <c r="B36" s="9">
        <v>46111</v>
      </c>
      <c r="C36" t="s">
        <v>29</v>
      </c>
      <c r="D36" t="s">
        <v>13</v>
      </c>
      <c r="E36" t="s">
        <v>25</v>
      </c>
      <c r="F36" t="s">
        <v>26</v>
      </c>
      <c r="G36">
        <v>5</v>
      </c>
      <c r="H36">
        <v>2500</v>
      </c>
      <c r="I36">
        <v>10</v>
      </c>
      <c r="J36" t="s">
        <v>22</v>
      </c>
      <c r="K36" t="s">
        <v>31</v>
      </c>
      <c r="L36">
        <f t="shared" si="10"/>
        <v>11250</v>
      </c>
      <c r="M36" t="str">
        <f t="shared" si="11"/>
        <v>low sales</v>
      </c>
      <c r="N36" t="str">
        <f t="shared" si="12"/>
        <v>average</v>
      </c>
      <c r="O36" t="str">
        <f t="shared" si="13"/>
        <v>NO BONUS</v>
      </c>
      <c r="P36" s="1">
        <f t="shared" si="14"/>
        <v>2026</v>
      </c>
      <c r="Q36" s="1">
        <f t="shared" si="15"/>
        <v>3</v>
      </c>
      <c r="R36" s="1" t="str">
        <f t="shared" si="16"/>
        <v>March</v>
      </c>
      <c r="S36" s="1" t="str">
        <f t="shared" si="17"/>
        <v>Q1</v>
      </c>
      <c r="T36" s="1" t="str">
        <f t="shared" si="18"/>
        <v>Monday</v>
      </c>
      <c r="U36" s="1">
        <f t="shared" si="19"/>
        <v>14</v>
      </c>
    </row>
    <row r="37" spans="1:21" x14ac:dyDescent="0.25">
      <c r="A37">
        <v>1079</v>
      </c>
      <c r="B37" s="9">
        <v>46119</v>
      </c>
      <c r="C37" t="s">
        <v>29</v>
      </c>
      <c r="D37" t="s">
        <v>13</v>
      </c>
      <c r="E37" t="s">
        <v>42</v>
      </c>
      <c r="F37" t="s">
        <v>15</v>
      </c>
      <c r="G37">
        <v>6</v>
      </c>
      <c r="H37">
        <v>2500</v>
      </c>
      <c r="I37">
        <v>15</v>
      </c>
      <c r="J37" t="s">
        <v>37</v>
      </c>
      <c r="K37" t="s">
        <v>39</v>
      </c>
      <c r="L37">
        <f t="shared" si="10"/>
        <v>12750</v>
      </c>
      <c r="M37" t="str">
        <f t="shared" si="11"/>
        <v>low sales</v>
      </c>
      <c r="N37" t="str">
        <f t="shared" si="12"/>
        <v>good</v>
      </c>
      <c r="O37" t="str">
        <f t="shared" si="13"/>
        <v>NO BONUS</v>
      </c>
      <c r="P37" s="1">
        <f t="shared" si="14"/>
        <v>2026</v>
      </c>
      <c r="Q37" s="1">
        <f t="shared" si="15"/>
        <v>4</v>
      </c>
      <c r="R37" s="1" t="str">
        <f t="shared" si="16"/>
        <v>April</v>
      </c>
      <c r="S37" s="1" t="str">
        <f t="shared" si="17"/>
        <v>Q2</v>
      </c>
      <c r="T37" s="1" t="str">
        <f t="shared" si="18"/>
        <v>Tuesday</v>
      </c>
      <c r="U37" s="1">
        <f t="shared" si="19"/>
        <v>15</v>
      </c>
    </row>
    <row r="38" spans="1:21" x14ac:dyDescent="0.25">
      <c r="A38">
        <v>1082</v>
      </c>
      <c r="B38" s="9">
        <v>46139</v>
      </c>
      <c r="C38" t="s">
        <v>29</v>
      </c>
      <c r="D38" t="s">
        <v>13</v>
      </c>
      <c r="E38" t="s">
        <v>25</v>
      </c>
      <c r="F38" t="s">
        <v>26</v>
      </c>
      <c r="G38">
        <v>7</v>
      </c>
      <c r="H38">
        <v>12000</v>
      </c>
      <c r="I38">
        <v>20</v>
      </c>
      <c r="J38" t="s">
        <v>16</v>
      </c>
      <c r="K38" t="s">
        <v>31</v>
      </c>
      <c r="L38">
        <f t="shared" si="10"/>
        <v>67200</v>
      </c>
      <c r="M38" t="str">
        <f t="shared" si="11"/>
        <v>high sales</v>
      </c>
      <c r="N38" t="str">
        <f t="shared" si="12"/>
        <v>good</v>
      </c>
      <c r="O38" t="str">
        <f t="shared" si="13"/>
        <v>NO BONUS</v>
      </c>
      <c r="P38" s="1">
        <f t="shared" si="14"/>
        <v>2026</v>
      </c>
      <c r="Q38" s="1">
        <f t="shared" si="15"/>
        <v>4</v>
      </c>
      <c r="R38" s="1" t="str">
        <f t="shared" si="16"/>
        <v>April</v>
      </c>
      <c r="S38" s="1" t="str">
        <f t="shared" si="17"/>
        <v>Q2</v>
      </c>
      <c r="T38" s="1" t="str">
        <f t="shared" si="18"/>
        <v>Monday</v>
      </c>
      <c r="U38" s="1">
        <f t="shared" si="19"/>
        <v>18</v>
      </c>
    </row>
    <row r="39" spans="1:21" x14ac:dyDescent="0.25">
      <c r="A39">
        <v>1001</v>
      </c>
      <c r="B39" s="9">
        <v>46190</v>
      </c>
      <c r="C39" t="s">
        <v>12</v>
      </c>
      <c r="D39" t="s">
        <v>13</v>
      </c>
      <c r="E39" t="s">
        <v>14</v>
      </c>
      <c r="F39" t="s">
        <v>15</v>
      </c>
      <c r="G39">
        <v>10</v>
      </c>
      <c r="H39">
        <v>750</v>
      </c>
      <c r="I39">
        <v>0</v>
      </c>
      <c r="J39" t="s">
        <v>16</v>
      </c>
      <c r="K39" t="s">
        <v>17</v>
      </c>
      <c r="L39">
        <f t="shared" si="10"/>
        <v>7500</v>
      </c>
      <c r="M39" t="str">
        <f t="shared" si="11"/>
        <v>low sales</v>
      </c>
      <c r="N39" t="str">
        <f t="shared" si="12"/>
        <v>average</v>
      </c>
      <c r="O39" t="str">
        <f t="shared" si="13"/>
        <v>NO BONUS</v>
      </c>
      <c r="P39" s="1">
        <f t="shared" si="14"/>
        <v>2026</v>
      </c>
      <c r="Q39" s="1">
        <f t="shared" si="15"/>
        <v>6</v>
      </c>
      <c r="R39" s="1" t="str">
        <f t="shared" si="16"/>
        <v>June</v>
      </c>
      <c r="S39" s="1" t="str">
        <f t="shared" si="17"/>
        <v>Q2</v>
      </c>
      <c r="T39" s="1" t="str">
        <f t="shared" si="18"/>
        <v>Wednesday</v>
      </c>
      <c r="U39" s="1">
        <f t="shared" si="19"/>
        <v>25</v>
      </c>
    </row>
    <row r="40" spans="1:21" x14ac:dyDescent="0.25">
      <c r="A40">
        <v>1100</v>
      </c>
      <c r="B40" s="9">
        <v>46164</v>
      </c>
      <c r="C40" t="s">
        <v>12</v>
      </c>
      <c r="D40" t="s">
        <v>13</v>
      </c>
      <c r="E40" t="s">
        <v>30</v>
      </c>
      <c r="F40" t="s">
        <v>21</v>
      </c>
      <c r="G40">
        <v>6</v>
      </c>
      <c r="H40">
        <v>5000</v>
      </c>
      <c r="I40">
        <v>15</v>
      </c>
      <c r="J40" t="s">
        <v>22</v>
      </c>
      <c r="K40" t="s">
        <v>17</v>
      </c>
      <c r="L40">
        <f t="shared" si="10"/>
        <v>25500</v>
      </c>
      <c r="M40" t="str">
        <f t="shared" si="11"/>
        <v>high sales</v>
      </c>
      <c r="N40" t="str">
        <f t="shared" si="12"/>
        <v>good</v>
      </c>
      <c r="O40" t="str">
        <f t="shared" si="13"/>
        <v>NO BONUS</v>
      </c>
      <c r="P40" s="1">
        <f t="shared" si="14"/>
        <v>2026</v>
      </c>
      <c r="Q40" s="1">
        <f t="shared" si="15"/>
        <v>5</v>
      </c>
      <c r="R40" s="1" t="str">
        <f t="shared" si="16"/>
        <v>May</v>
      </c>
      <c r="S40" s="1" t="str">
        <f t="shared" si="17"/>
        <v>Q2</v>
      </c>
      <c r="T40" s="1" t="str">
        <f t="shared" si="18"/>
        <v>Friday</v>
      </c>
      <c r="U40" s="1">
        <f t="shared" si="19"/>
        <v>21</v>
      </c>
    </row>
    <row r="41" spans="1:21" x14ac:dyDescent="0.25">
      <c r="A41">
        <v>1038</v>
      </c>
      <c r="B41" s="9">
        <v>46043</v>
      </c>
      <c r="C41" t="s">
        <v>23</v>
      </c>
      <c r="D41" t="s">
        <v>13</v>
      </c>
      <c r="E41" t="s">
        <v>42</v>
      </c>
      <c r="F41" t="s">
        <v>15</v>
      </c>
      <c r="G41">
        <v>7</v>
      </c>
      <c r="H41">
        <v>750</v>
      </c>
      <c r="I41">
        <v>15</v>
      </c>
      <c r="J41" t="s">
        <v>27</v>
      </c>
      <c r="K41" t="s">
        <v>17</v>
      </c>
      <c r="L41">
        <f t="shared" si="10"/>
        <v>4462.5</v>
      </c>
      <c r="M41" t="str">
        <f t="shared" si="11"/>
        <v>low sales</v>
      </c>
      <c r="N41" t="str">
        <f t="shared" si="12"/>
        <v>LOW SALES</v>
      </c>
      <c r="O41" t="str">
        <f t="shared" si="13"/>
        <v>NO BONUS</v>
      </c>
      <c r="P41" s="1">
        <f t="shared" si="14"/>
        <v>2026</v>
      </c>
      <c r="Q41" s="1">
        <f t="shared" si="15"/>
        <v>1</v>
      </c>
      <c r="R41" s="1" t="str">
        <f t="shared" si="16"/>
        <v>January</v>
      </c>
      <c r="S41" s="1" t="str">
        <f t="shared" si="17"/>
        <v>Q1</v>
      </c>
      <c r="T41" s="1" t="str">
        <f t="shared" si="18"/>
        <v>Wednesday</v>
      </c>
      <c r="U41" s="1">
        <f t="shared" si="19"/>
        <v>4</v>
      </c>
    </row>
    <row r="42" spans="1:21" x14ac:dyDescent="0.25">
      <c r="A42">
        <v>1064</v>
      </c>
      <c r="B42" s="9">
        <v>46078</v>
      </c>
      <c r="C42" t="s">
        <v>23</v>
      </c>
      <c r="D42" t="s">
        <v>13</v>
      </c>
      <c r="E42" t="s">
        <v>42</v>
      </c>
      <c r="F42" t="s">
        <v>15</v>
      </c>
      <c r="G42">
        <v>6</v>
      </c>
      <c r="H42">
        <v>2500</v>
      </c>
      <c r="I42">
        <v>15</v>
      </c>
      <c r="J42" t="s">
        <v>35</v>
      </c>
      <c r="K42" t="s">
        <v>39</v>
      </c>
      <c r="L42">
        <f t="shared" si="10"/>
        <v>12750</v>
      </c>
      <c r="M42" t="str">
        <f t="shared" si="11"/>
        <v>low sales</v>
      </c>
      <c r="N42" t="str">
        <f t="shared" si="12"/>
        <v>good</v>
      </c>
      <c r="O42" t="str">
        <f t="shared" si="13"/>
        <v>NO BONUS</v>
      </c>
      <c r="P42" s="1">
        <f t="shared" si="14"/>
        <v>2026</v>
      </c>
      <c r="Q42" s="1">
        <f t="shared" si="15"/>
        <v>2</v>
      </c>
      <c r="R42" s="1" t="str">
        <f t="shared" si="16"/>
        <v>February</v>
      </c>
      <c r="S42" s="1" t="str">
        <f t="shared" si="17"/>
        <v>Q1</v>
      </c>
      <c r="T42" s="1" t="str">
        <f t="shared" si="18"/>
        <v>Wednesday</v>
      </c>
      <c r="U42" s="1">
        <f t="shared" si="19"/>
        <v>9</v>
      </c>
    </row>
    <row r="43" spans="1:21" x14ac:dyDescent="0.25">
      <c r="A43">
        <v>1094</v>
      </c>
      <c r="B43" s="9">
        <v>46175</v>
      </c>
      <c r="C43" t="s">
        <v>41</v>
      </c>
      <c r="D43" t="s">
        <v>38</v>
      </c>
      <c r="E43" t="s">
        <v>30</v>
      </c>
      <c r="F43" t="s">
        <v>21</v>
      </c>
      <c r="G43">
        <v>2</v>
      </c>
      <c r="H43">
        <v>1500</v>
      </c>
      <c r="I43">
        <v>5</v>
      </c>
      <c r="J43" t="s">
        <v>22</v>
      </c>
      <c r="K43" t="s">
        <v>28</v>
      </c>
      <c r="L43">
        <f t="shared" si="10"/>
        <v>2850</v>
      </c>
      <c r="M43" t="str">
        <f t="shared" si="11"/>
        <v>low sales</v>
      </c>
      <c r="N43" t="str">
        <f t="shared" si="12"/>
        <v>LOW SALES</v>
      </c>
      <c r="O43" t="str">
        <f t="shared" si="13"/>
        <v>NO BONUS</v>
      </c>
      <c r="P43" s="1">
        <f t="shared" si="14"/>
        <v>2026</v>
      </c>
      <c r="Q43" s="1">
        <f t="shared" si="15"/>
        <v>6</v>
      </c>
      <c r="R43" s="1" t="str">
        <f t="shared" si="16"/>
        <v>June</v>
      </c>
      <c r="S43" s="1" t="str">
        <f t="shared" si="17"/>
        <v>Q2</v>
      </c>
      <c r="T43" s="1" t="str">
        <f t="shared" si="18"/>
        <v>Tuesday</v>
      </c>
      <c r="U43" s="1">
        <f t="shared" si="19"/>
        <v>23</v>
      </c>
    </row>
    <row r="44" spans="1:21" x14ac:dyDescent="0.25">
      <c r="A44">
        <v>1054</v>
      </c>
      <c r="B44" s="9">
        <v>46114</v>
      </c>
      <c r="C44" t="s">
        <v>41</v>
      </c>
      <c r="D44" t="s">
        <v>38</v>
      </c>
      <c r="E44" t="s">
        <v>14</v>
      </c>
      <c r="F44" t="s">
        <v>15</v>
      </c>
      <c r="G44">
        <v>8</v>
      </c>
      <c r="H44">
        <v>1500</v>
      </c>
      <c r="I44">
        <v>20</v>
      </c>
      <c r="J44" t="s">
        <v>22</v>
      </c>
      <c r="K44" t="s">
        <v>17</v>
      </c>
      <c r="L44">
        <f t="shared" si="10"/>
        <v>9600</v>
      </c>
      <c r="M44" t="str">
        <f t="shared" si="11"/>
        <v>low sales</v>
      </c>
      <c r="N44" t="str">
        <f t="shared" si="12"/>
        <v>average</v>
      </c>
      <c r="O44" t="str">
        <f t="shared" si="13"/>
        <v>NO BONUS</v>
      </c>
      <c r="P44" s="1">
        <f t="shared" si="14"/>
        <v>2026</v>
      </c>
      <c r="Q44" s="1">
        <f t="shared" si="15"/>
        <v>4</v>
      </c>
      <c r="R44" s="1" t="str">
        <f t="shared" si="16"/>
        <v>April</v>
      </c>
      <c r="S44" s="1" t="str">
        <f t="shared" si="17"/>
        <v>Q2</v>
      </c>
      <c r="T44" s="1" t="str">
        <f t="shared" si="18"/>
        <v>Thursday</v>
      </c>
      <c r="U44" s="1">
        <f t="shared" si="19"/>
        <v>14</v>
      </c>
    </row>
    <row r="45" spans="1:21" x14ac:dyDescent="0.25">
      <c r="A45">
        <v>1042</v>
      </c>
      <c r="B45" s="9">
        <v>46069</v>
      </c>
      <c r="C45" t="s">
        <v>45</v>
      </c>
      <c r="D45" t="s">
        <v>38</v>
      </c>
      <c r="E45" t="s">
        <v>14</v>
      </c>
      <c r="F45" t="s">
        <v>15</v>
      </c>
      <c r="G45">
        <v>8</v>
      </c>
      <c r="H45">
        <v>750</v>
      </c>
      <c r="I45">
        <v>20</v>
      </c>
      <c r="J45" t="s">
        <v>37</v>
      </c>
      <c r="K45" t="s">
        <v>31</v>
      </c>
      <c r="L45">
        <f t="shared" si="10"/>
        <v>4800</v>
      </c>
      <c r="M45" t="str">
        <f t="shared" si="11"/>
        <v>low sales</v>
      </c>
      <c r="N45" t="str">
        <f t="shared" si="12"/>
        <v>LOW SALES</v>
      </c>
      <c r="O45" t="str">
        <f t="shared" si="13"/>
        <v>NO BONUS</v>
      </c>
      <c r="P45" s="1">
        <f t="shared" si="14"/>
        <v>2026</v>
      </c>
      <c r="Q45" s="1">
        <f t="shared" si="15"/>
        <v>2</v>
      </c>
      <c r="R45" s="1" t="str">
        <f t="shared" si="16"/>
        <v>February</v>
      </c>
      <c r="S45" s="1" t="str">
        <f t="shared" si="17"/>
        <v>Q1</v>
      </c>
      <c r="T45" s="1" t="str">
        <f t="shared" si="18"/>
        <v>Monday</v>
      </c>
      <c r="U45" s="1">
        <f t="shared" si="19"/>
        <v>8</v>
      </c>
    </row>
    <row r="46" spans="1:21" x14ac:dyDescent="0.25">
      <c r="A46">
        <v>1067</v>
      </c>
      <c r="B46" s="9">
        <v>46062</v>
      </c>
      <c r="C46" t="s">
        <v>45</v>
      </c>
      <c r="D46" t="s">
        <v>38</v>
      </c>
      <c r="E46" t="s">
        <v>30</v>
      </c>
      <c r="F46" t="s">
        <v>21</v>
      </c>
      <c r="G46">
        <v>9</v>
      </c>
      <c r="H46">
        <v>750</v>
      </c>
      <c r="I46">
        <v>20</v>
      </c>
      <c r="J46" t="s">
        <v>27</v>
      </c>
      <c r="K46" t="s">
        <v>39</v>
      </c>
      <c r="L46">
        <f t="shared" si="10"/>
        <v>5400</v>
      </c>
      <c r="M46" t="str">
        <f t="shared" si="11"/>
        <v>low sales</v>
      </c>
      <c r="N46" t="str">
        <f t="shared" si="12"/>
        <v>LOW SALES</v>
      </c>
      <c r="O46" t="str">
        <f t="shared" si="13"/>
        <v>NO BONUS</v>
      </c>
      <c r="P46" s="1">
        <f t="shared" si="14"/>
        <v>2026</v>
      </c>
      <c r="Q46" s="1">
        <f t="shared" si="15"/>
        <v>2</v>
      </c>
      <c r="R46" s="1" t="str">
        <f t="shared" si="16"/>
        <v>February</v>
      </c>
      <c r="S46" s="1" t="str">
        <f t="shared" si="17"/>
        <v>Q1</v>
      </c>
      <c r="T46" s="1" t="str">
        <f t="shared" si="18"/>
        <v>Monday</v>
      </c>
      <c r="U46" s="1">
        <f t="shared" si="19"/>
        <v>7</v>
      </c>
    </row>
    <row r="47" spans="1:21" x14ac:dyDescent="0.25">
      <c r="A47">
        <v>1078</v>
      </c>
      <c r="B47" s="9">
        <v>46157</v>
      </c>
      <c r="C47" t="s">
        <v>45</v>
      </c>
      <c r="D47" t="s">
        <v>38</v>
      </c>
      <c r="E47" t="s">
        <v>14</v>
      </c>
      <c r="F47" t="s">
        <v>15</v>
      </c>
      <c r="G47">
        <v>10</v>
      </c>
      <c r="H47">
        <v>12000</v>
      </c>
      <c r="I47">
        <v>15</v>
      </c>
      <c r="J47" t="s">
        <v>22</v>
      </c>
      <c r="K47" t="s">
        <v>31</v>
      </c>
      <c r="L47">
        <f t="shared" si="10"/>
        <v>102000</v>
      </c>
      <c r="M47" t="str">
        <f t="shared" si="11"/>
        <v>high sales</v>
      </c>
      <c r="N47" t="str">
        <f t="shared" si="12"/>
        <v>good</v>
      </c>
      <c r="O47" t="str">
        <f t="shared" si="13"/>
        <v>NO BONUS</v>
      </c>
      <c r="P47" s="1">
        <f t="shared" si="14"/>
        <v>2026</v>
      </c>
      <c r="Q47" s="1">
        <f t="shared" si="15"/>
        <v>5</v>
      </c>
      <c r="R47" s="1" t="str">
        <f t="shared" si="16"/>
        <v>May</v>
      </c>
      <c r="S47" s="1" t="str">
        <f t="shared" si="17"/>
        <v>Q2</v>
      </c>
      <c r="T47" s="1" t="str">
        <f t="shared" si="18"/>
        <v>Friday</v>
      </c>
      <c r="U47" s="1">
        <f t="shared" si="19"/>
        <v>20</v>
      </c>
    </row>
    <row r="48" spans="1:21" x14ac:dyDescent="0.25">
      <c r="A48">
        <v>1041</v>
      </c>
      <c r="B48" s="9">
        <v>46168</v>
      </c>
      <c r="C48" t="s">
        <v>18</v>
      </c>
      <c r="D48" t="s">
        <v>38</v>
      </c>
      <c r="E48" t="s">
        <v>20</v>
      </c>
      <c r="F48" t="s">
        <v>21</v>
      </c>
      <c r="G48">
        <v>10</v>
      </c>
      <c r="H48">
        <v>1000</v>
      </c>
      <c r="I48">
        <v>15</v>
      </c>
      <c r="J48" t="s">
        <v>37</v>
      </c>
      <c r="K48" t="s">
        <v>28</v>
      </c>
      <c r="L48">
        <f t="shared" si="10"/>
        <v>8500</v>
      </c>
      <c r="M48" t="str">
        <f t="shared" si="11"/>
        <v>low sales</v>
      </c>
      <c r="N48" t="str">
        <f t="shared" si="12"/>
        <v>average</v>
      </c>
      <c r="O48" t="str">
        <f t="shared" si="13"/>
        <v>NO BONUS</v>
      </c>
      <c r="P48" s="1">
        <f t="shared" si="14"/>
        <v>2026</v>
      </c>
      <c r="Q48" s="1">
        <f t="shared" si="15"/>
        <v>5</v>
      </c>
      <c r="R48" s="1" t="str">
        <f t="shared" si="16"/>
        <v>May</v>
      </c>
      <c r="S48" s="1" t="str">
        <f t="shared" si="17"/>
        <v>Q2</v>
      </c>
      <c r="T48" s="1" t="str">
        <f t="shared" si="18"/>
        <v>Tuesday</v>
      </c>
      <c r="U48" s="1">
        <f t="shared" si="19"/>
        <v>22</v>
      </c>
    </row>
    <row r="49" spans="1:21" x14ac:dyDescent="0.25">
      <c r="A49">
        <v>1014</v>
      </c>
      <c r="B49" s="9">
        <v>46053</v>
      </c>
      <c r="C49" t="s">
        <v>43</v>
      </c>
      <c r="D49" t="s">
        <v>38</v>
      </c>
      <c r="E49" t="s">
        <v>14</v>
      </c>
      <c r="F49" t="s">
        <v>15</v>
      </c>
      <c r="G49">
        <v>3</v>
      </c>
      <c r="H49">
        <v>750</v>
      </c>
      <c r="I49">
        <v>20</v>
      </c>
      <c r="J49" t="s">
        <v>22</v>
      </c>
      <c r="K49" t="s">
        <v>31</v>
      </c>
      <c r="L49">
        <f t="shared" si="10"/>
        <v>1800</v>
      </c>
      <c r="M49" t="str">
        <f t="shared" si="11"/>
        <v>low sales</v>
      </c>
      <c r="N49" t="str">
        <f t="shared" si="12"/>
        <v>LOW SALES</v>
      </c>
      <c r="O49" t="str">
        <f t="shared" si="13"/>
        <v>NO BONUS</v>
      </c>
      <c r="P49" s="1">
        <f t="shared" si="14"/>
        <v>2026</v>
      </c>
      <c r="Q49" s="1">
        <f t="shared" si="15"/>
        <v>1</v>
      </c>
      <c r="R49" s="1" t="str">
        <f t="shared" si="16"/>
        <v>January</v>
      </c>
      <c r="S49" s="1" t="str">
        <f t="shared" si="17"/>
        <v>Q1</v>
      </c>
      <c r="T49" s="1" t="str">
        <f t="shared" si="18"/>
        <v>Saturday</v>
      </c>
      <c r="U49" s="1">
        <f t="shared" si="19"/>
        <v>5</v>
      </c>
    </row>
    <row r="50" spans="1:21" x14ac:dyDescent="0.25">
      <c r="A50">
        <v>1060</v>
      </c>
      <c r="B50" s="9">
        <v>46127</v>
      </c>
      <c r="C50" t="s">
        <v>43</v>
      </c>
      <c r="D50" t="s">
        <v>38</v>
      </c>
      <c r="E50" t="s">
        <v>40</v>
      </c>
      <c r="F50" t="s">
        <v>26</v>
      </c>
      <c r="G50">
        <v>9</v>
      </c>
      <c r="H50">
        <v>12000</v>
      </c>
      <c r="I50">
        <v>15</v>
      </c>
      <c r="J50" t="s">
        <v>16</v>
      </c>
      <c r="K50" t="s">
        <v>17</v>
      </c>
      <c r="L50">
        <f t="shared" si="10"/>
        <v>91800</v>
      </c>
      <c r="M50" t="str">
        <f t="shared" si="11"/>
        <v>high sales</v>
      </c>
      <c r="N50" t="str">
        <f t="shared" si="12"/>
        <v>good</v>
      </c>
      <c r="O50" t="str">
        <f t="shared" si="13"/>
        <v>NO BONUS</v>
      </c>
      <c r="P50" s="1">
        <f t="shared" si="14"/>
        <v>2026</v>
      </c>
      <c r="Q50" s="1">
        <f t="shared" si="15"/>
        <v>4</v>
      </c>
      <c r="R50" s="1" t="str">
        <f t="shared" si="16"/>
        <v>April</v>
      </c>
      <c r="S50" s="1" t="str">
        <f t="shared" si="17"/>
        <v>Q2</v>
      </c>
      <c r="T50" s="1" t="str">
        <f t="shared" si="18"/>
        <v>Wednesday</v>
      </c>
      <c r="U50" s="1">
        <f t="shared" si="19"/>
        <v>16</v>
      </c>
    </row>
    <row r="51" spans="1:21" x14ac:dyDescent="0.25">
      <c r="A51">
        <v>1090</v>
      </c>
      <c r="B51" s="9">
        <v>46084</v>
      </c>
      <c r="C51" t="s">
        <v>36</v>
      </c>
      <c r="D51" t="s">
        <v>38</v>
      </c>
      <c r="E51" t="s">
        <v>20</v>
      </c>
      <c r="F51" t="s">
        <v>21</v>
      </c>
      <c r="G51">
        <v>9</v>
      </c>
      <c r="H51">
        <v>5000</v>
      </c>
      <c r="I51">
        <v>15</v>
      </c>
      <c r="J51" t="s">
        <v>16</v>
      </c>
      <c r="K51" t="s">
        <v>28</v>
      </c>
      <c r="L51">
        <f t="shared" si="10"/>
        <v>38250</v>
      </c>
      <c r="M51" t="str">
        <f t="shared" si="11"/>
        <v>high sales</v>
      </c>
      <c r="N51" t="str">
        <f t="shared" si="12"/>
        <v>good</v>
      </c>
      <c r="O51" t="str">
        <f t="shared" si="13"/>
        <v>NO BONUS</v>
      </c>
      <c r="P51" s="1">
        <f t="shared" si="14"/>
        <v>2026</v>
      </c>
      <c r="Q51" s="1">
        <f t="shared" si="15"/>
        <v>3</v>
      </c>
      <c r="R51" s="1" t="str">
        <f t="shared" si="16"/>
        <v>March</v>
      </c>
      <c r="S51" s="1" t="str">
        <f t="shared" si="17"/>
        <v>Q1</v>
      </c>
      <c r="T51" s="1" t="str">
        <f t="shared" si="18"/>
        <v>Tuesday</v>
      </c>
      <c r="U51" s="1">
        <f t="shared" si="19"/>
        <v>10</v>
      </c>
    </row>
    <row r="52" spans="1:21" x14ac:dyDescent="0.25">
      <c r="A52">
        <v>1024</v>
      </c>
      <c r="B52" s="9">
        <v>46195</v>
      </c>
      <c r="C52" t="s">
        <v>44</v>
      </c>
      <c r="D52" t="s">
        <v>38</v>
      </c>
      <c r="E52" t="s">
        <v>14</v>
      </c>
      <c r="F52" t="s">
        <v>15</v>
      </c>
      <c r="G52">
        <v>5</v>
      </c>
      <c r="H52">
        <v>250</v>
      </c>
      <c r="I52">
        <v>15</v>
      </c>
      <c r="J52" t="s">
        <v>16</v>
      </c>
      <c r="K52" t="s">
        <v>39</v>
      </c>
      <c r="L52">
        <f t="shared" si="10"/>
        <v>1062.5</v>
      </c>
      <c r="M52" t="str">
        <f t="shared" si="11"/>
        <v>low sales</v>
      </c>
      <c r="N52" t="str">
        <f t="shared" si="12"/>
        <v>LOW SALES</v>
      </c>
      <c r="O52" t="str">
        <f t="shared" si="13"/>
        <v>NO BONUS</v>
      </c>
      <c r="P52" s="1">
        <f t="shared" si="14"/>
        <v>2026</v>
      </c>
      <c r="Q52" s="1">
        <f t="shared" si="15"/>
        <v>6</v>
      </c>
      <c r="R52" s="1" t="str">
        <f t="shared" si="16"/>
        <v>June</v>
      </c>
      <c r="S52" s="1" t="str">
        <f t="shared" si="17"/>
        <v>Q2</v>
      </c>
      <c r="T52" s="1" t="str">
        <f t="shared" si="18"/>
        <v>Monday</v>
      </c>
      <c r="U52" s="1">
        <f t="shared" si="19"/>
        <v>26</v>
      </c>
    </row>
    <row r="53" spans="1:21" x14ac:dyDescent="0.25">
      <c r="A53">
        <v>1017</v>
      </c>
      <c r="B53" s="9">
        <v>46187</v>
      </c>
      <c r="C53" t="s">
        <v>44</v>
      </c>
      <c r="D53" t="s">
        <v>38</v>
      </c>
      <c r="E53" t="s">
        <v>34</v>
      </c>
      <c r="F53" t="s">
        <v>21</v>
      </c>
      <c r="G53">
        <v>7</v>
      </c>
      <c r="H53">
        <v>250</v>
      </c>
      <c r="I53">
        <v>20</v>
      </c>
      <c r="J53" t="s">
        <v>27</v>
      </c>
      <c r="K53" t="s">
        <v>17</v>
      </c>
      <c r="L53">
        <f t="shared" si="10"/>
        <v>1400</v>
      </c>
      <c r="M53" t="str">
        <f t="shared" si="11"/>
        <v>low sales</v>
      </c>
      <c r="N53" t="str">
        <f t="shared" si="12"/>
        <v>LOW SALES</v>
      </c>
      <c r="O53" t="str">
        <f t="shared" si="13"/>
        <v>NO BONUS</v>
      </c>
      <c r="P53" s="1">
        <f t="shared" si="14"/>
        <v>2026</v>
      </c>
      <c r="Q53" s="1">
        <f t="shared" si="15"/>
        <v>6</v>
      </c>
      <c r="R53" s="1" t="str">
        <f t="shared" si="16"/>
        <v>June</v>
      </c>
      <c r="S53" s="1" t="str">
        <f t="shared" si="17"/>
        <v>Q2</v>
      </c>
      <c r="T53" s="1" t="str">
        <f t="shared" si="18"/>
        <v>Sunday</v>
      </c>
      <c r="U53" s="1">
        <f t="shared" si="19"/>
        <v>25</v>
      </c>
    </row>
    <row r="54" spans="1:21" x14ac:dyDescent="0.25">
      <c r="A54">
        <v>1026</v>
      </c>
      <c r="B54" s="9">
        <v>46180</v>
      </c>
      <c r="C54" t="s">
        <v>44</v>
      </c>
      <c r="D54" t="s">
        <v>38</v>
      </c>
      <c r="E54" t="s">
        <v>20</v>
      </c>
      <c r="F54" t="s">
        <v>21</v>
      </c>
      <c r="G54">
        <v>1</v>
      </c>
      <c r="H54">
        <v>12000</v>
      </c>
      <c r="I54">
        <v>5</v>
      </c>
      <c r="J54" t="s">
        <v>35</v>
      </c>
      <c r="K54" t="s">
        <v>17</v>
      </c>
      <c r="L54">
        <f t="shared" si="10"/>
        <v>11400</v>
      </c>
      <c r="M54" t="str">
        <f t="shared" si="11"/>
        <v>low sales</v>
      </c>
      <c r="N54" t="str">
        <f t="shared" si="12"/>
        <v>average</v>
      </c>
      <c r="O54" t="str">
        <f t="shared" si="13"/>
        <v>NO BONUS</v>
      </c>
      <c r="P54" s="1">
        <f t="shared" si="14"/>
        <v>2026</v>
      </c>
      <c r="Q54" s="1">
        <f t="shared" si="15"/>
        <v>6</v>
      </c>
      <c r="R54" s="1" t="str">
        <f t="shared" si="16"/>
        <v>June</v>
      </c>
      <c r="S54" s="1" t="str">
        <f t="shared" si="17"/>
        <v>Q2</v>
      </c>
      <c r="T54" s="1" t="str">
        <f t="shared" si="18"/>
        <v>Sunday</v>
      </c>
      <c r="U54" s="1">
        <f t="shared" si="19"/>
        <v>24</v>
      </c>
    </row>
    <row r="55" spans="1:21" x14ac:dyDescent="0.25">
      <c r="A55">
        <v>1097</v>
      </c>
      <c r="B55" s="9">
        <v>46091</v>
      </c>
      <c r="C55" t="s">
        <v>44</v>
      </c>
      <c r="D55" t="s">
        <v>38</v>
      </c>
      <c r="E55" t="s">
        <v>42</v>
      </c>
      <c r="F55" t="s">
        <v>15</v>
      </c>
      <c r="G55">
        <v>10</v>
      </c>
      <c r="H55">
        <v>1500</v>
      </c>
      <c r="I55">
        <v>10</v>
      </c>
      <c r="J55" t="s">
        <v>22</v>
      </c>
      <c r="K55" t="s">
        <v>39</v>
      </c>
      <c r="L55">
        <f t="shared" si="10"/>
        <v>13500</v>
      </c>
      <c r="M55" t="str">
        <f t="shared" si="11"/>
        <v>low sales</v>
      </c>
      <c r="N55" t="str">
        <f t="shared" si="12"/>
        <v>good</v>
      </c>
      <c r="O55" t="str">
        <f t="shared" si="13"/>
        <v>NO BONUS</v>
      </c>
      <c r="P55" s="1">
        <f t="shared" si="14"/>
        <v>2026</v>
      </c>
      <c r="Q55" s="1">
        <f t="shared" si="15"/>
        <v>3</v>
      </c>
      <c r="R55" s="1" t="str">
        <f t="shared" si="16"/>
        <v>March</v>
      </c>
      <c r="S55" s="1" t="str">
        <f t="shared" si="17"/>
        <v>Q1</v>
      </c>
      <c r="T55" s="1" t="str">
        <f t="shared" si="18"/>
        <v>Tuesday</v>
      </c>
      <c r="U55" s="1">
        <f t="shared" si="19"/>
        <v>11</v>
      </c>
    </row>
    <row r="56" spans="1:21" x14ac:dyDescent="0.25">
      <c r="A56">
        <v>1013</v>
      </c>
      <c r="B56" s="9">
        <v>46023</v>
      </c>
      <c r="C56" t="s">
        <v>32</v>
      </c>
      <c r="D56" t="s">
        <v>38</v>
      </c>
      <c r="E56" t="s">
        <v>34</v>
      </c>
      <c r="F56" t="s">
        <v>21</v>
      </c>
      <c r="G56">
        <v>2</v>
      </c>
      <c r="H56">
        <v>1000</v>
      </c>
      <c r="I56">
        <v>5</v>
      </c>
      <c r="J56" t="s">
        <v>35</v>
      </c>
      <c r="K56" t="s">
        <v>17</v>
      </c>
      <c r="L56">
        <f t="shared" si="10"/>
        <v>1900</v>
      </c>
      <c r="M56" t="str">
        <f t="shared" si="11"/>
        <v>low sales</v>
      </c>
      <c r="N56" t="str">
        <f t="shared" si="12"/>
        <v>LOW SALES</v>
      </c>
      <c r="O56" t="str">
        <f t="shared" si="13"/>
        <v>NO BONUS</v>
      </c>
      <c r="P56" s="1">
        <f t="shared" si="14"/>
        <v>2026</v>
      </c>
      <c r="Q56" s="1">
        <f t="shared" si="15"/>
        <v>1</v>
      </c>
      <c r="R56" s="1" t="str">
        <f t="shared" si="16"/>
        <v>January</v>
      </c>
      <c r="S56" s="1" t="str">
        <f t="shared" si="17"/>
        <v>Q1</v>
      </c>
      <c r="T56" s="1" t="str">
        <f t="shared" si="18"/>
        <v>Thursday</v>
      </c>
      <c r="U56" s="1">
        <f t="shared" si="19"/>
        <v>1</v>
      </c>
    </row>
    <row r="57" spans="1:21" x14ac:dyDescent="0.25">
      <c r="A57">
        <v>1010</v>
      </c>
      <c r="B57" s="9">
        <v>46201</v>
      </c>
      <c r="C57" t="s">
        <v>32</v>
      </c>
      <c r="D57" t="s">
        <v>38</v>
      </c>
      <c r="E57" t="s">
        <v>40</v>
      </c>
      <c r="F57" t="s">
        <v>26</v>
      </c>
      <c r="G57">
        <v>6</v>
      </c>
      <c r="H57">
        <v>750</v>
      </c>
      <c r="I57">
        <v>10</v>
      </c>
      <c r="J57" t="s">
        <v>22</v>
      </c>
      <c r="K57" t="s">
        <v>31</v>
      </c>
      <c r="L57">
        <f t="shared" si="10"/>
        <v>4050</v>
      </c>
      <c r="M57" t="str">
        <f t="shared" si="11"/>
        <v>low sales</v>
      </c>
      <c r="N57" t="str">
        <f t="shared" si="12"/>
        <v>LOW SALES</v>
      </c>
      <c r="O57" t="str">
        <f t="shared" si="13"/>
        <v>NO BONUS</v>
      </c>
      <c r="P57" s="1">
        <f t="shared" si="14"/>
        <v>2026</v>
      </c>
      <c r="Q57" s="1">
        <f t="shared" si="15"/>
        <v>6</v>
      </c>
      <c r="R57" s="1" t="str">
        <f t="shared" si="16"/>
        <v>June</v>
      </c>
      <c r="S57" s="1" t="str">
        <f t="shared" si="17"/>
        <v>Q2</v>
      </c>
      <c r="T57" s="1" t="str">
        <f t="shared" si="18"/>
        <v>Sunday</v>
      </c>
      <c r="U57" s="1">
        <f t="shared" si="19"/>
        <v>27</v>
      </c>
    </row>
    <row r="58" spans="1:21" x14ac:dyDescent="0.25">
      <c r="A58">
        <v>1009</v>
      </c>
      <c r="B58" s="9">
        <v>46133</v>
      </c>
      <c r="C58" t="s">
        <v>32</v>
      </c>
      <c r="D58" t="s">
        <v>38</v>
      </c>
      <c r="E58" t="s">
        <v>34</v>
      </c>
      <c r="F58" t="s">
        <v>21</v>
      </c>
      <c r="G58">
        <v>8</v>
      </c>
      <c r="H58">
        <v>1000</v>
      </c>
      <c r="I58">
        <v>5</v>
      </c>
      <c r="J58" t="s">
        <v>37</v>
      </c>
      <c r="K58" t="s">
        <v>39</v>
      </c>
      <c r="L58">
        <f t="shared" si="10"/>
        <v>7600</v>
      </c>
      <c r="M58" t="str">
        <f t="shared" si="11"/>
        <v>low sales</v>
      </c>
      <c r="N58" t="str">
        <f t="shared" si="12"/>
        <v>average</v>
      </c>
      <c r="O58" t="str">
        <f t="shared" si="13"/>
        <v>NO BONUS</v>
      </c>
      <c r="P58" s="1">
        <f t="shared" si="14"/>
        <v>2026</v>
      </c>
      <c r="Q58" s="1">
        <f t="shared" si="15"/>
        <v>4</v>
      </c>
      <c r="R58" s="1" t="str">
        <f t="shared" si="16"/>
        <v>April</v>
      </c>
      <c r="S58" s="1" t="str">
        <f t="shared" si="17"/>
        <v>Q2</v>
      </c>
      <c r="T58" s="1" t="str">
        <f t="shared" si="18"/>
        <v>Tuesday</v>
      </c>
      <c r="U58" s="1">
        <f t="shared" si="19"/>
        <v>17</v>
      </c>
    </row>
    <row r="59" spans="1:21" x14ac:dyDescent="0.25">
      <c r="A59">
        <v>1065</v>
      </c>
      <c r="B59" s="9">
        <v>46040</v>
      </c>
      <c r="C59" t="s">
        <v>29</v>
      </c>
      <c r="D59" t="s">
        <v>38</v>
      </c>
      <c r="E59" t="s">
        <v>20</v>
      </c>
      <c r="F59" t="s">
        <v>21</v>
      </c>
      <c r="G59">
        <v>10</v>
      </c>
      <c r="H59">
        <v>5000</v>
      </c>
      <c r="I59">
        <v>0</v>
      </c>
      <c r="J59" t="s">
        <v>16</v>
      </c>
      <c r="K59" t="s">
        <v>39</v>
      </c>
      <c r="L59">
        <f t="shared" si="10"/>
        <v>50000</v>
      </c>
      <c r="M59" t="str">
        <f t="shared" si="11"/>
        <v>high sales</v>
      </c>
      <c r="N59" t="str">
        <f t="shared" si="12"/>
        <v>good</v>
      </c>
      <c r="O59" t="str">
        <f t="shared" si="13"/>
        <v>NO BONUS</v>
      </c>
      <c r="P59" s="1">
        <f t="shared" si="14"/>
        <v>2026</v>
      </c>
      <c r="Q59" s="1">
        <f t="shared" si="15"/>
        <v>1</v>
      </c>
      <c r="R59" s="1" t="str">
        <f t="shared" si="16"/>
        <v>January</v>
      </c>
      <c r="S59" s="1" t="str">
        <f t="shared" si="17"/>
        <v>Q1</v>
      </c>
      <c r="T59" s="1" t="str">
        <f t="shared" si="18"/>
        <v>Sunday</v>
      </c>
      <c r="U59" s="1">
        <f t="shared" si="19"/>
        <v>4</v>
      </c>
    </row>
    <row r="60" spans="1:21" x14ac:dyDescent="0.25">
      <c r="A60">
        <v>1018</v>
      </c>
      <c r="B60" s="9">
        <v>46203</v>
      </c>
      <c r="C60" t="s">
        <v>23</v>
      </c>
      <c r="D60" t="s">
        <v>38</v>
      </c>
      <c r="E60" t="s">
        <v>14</v>
      </c>
      <c r="F60" t="s">
        <v>15</v>
      </c>
      <c r="G60">
        <v>8</v>
      </c>
      <c r="H60">
        <v>500</v>
      </c>
      <c r="I60">
        <v>5</v>
      </c>
      <c r="J60" t="s">
        <v>27</v>
      </c>
      <c r="K60" t="s">
        <v>31</v>
      </c>
      <c r="L60">
        <f t="shared" si="10"/>
        <v>3800</v>
      </c>
      <c r="M60" t="str">
        <f t="shared" si="11"/>
        <v>low sales</v>
      </c>
      <c r="N60" t="str">
        <f t="shared" si="12"/>
        <v>LOW SALES</v>
      </c>
      <c r="O60" t="str">
        <f t="shared" si="13"/>
        <v>NO BONUS</v>
      </c>
      <c r="P60" s="1">
        <f t="shared" si="14"/>
        <v>2026</v>
      </c>
      <c r="Q60" s="1">
        <f t="shared" si="15"/>
        <v>6</v>
      </c>
      <c r="R60" s="1" t="str">
        <f t="shared" si="16"/>
        <v>June</v>
      </c>
      <c r="S60" s="1" t="str">
        <f t="shared" si="17"/>
        <v>Q2</v>
      </c>
      <c r="T60" s="1" t="str">
        <f t="shared" si="18"/>
        <v>Tuesday</v>
      </c>
      <c r="U60" s="1">
        <f t="shared" si="19"/>
        <v>27</v>
      </c>
    </row>
    <row r="61" spans="1:21" x14ac:dyDescent="0.25">
      <c r="A61">
        <v>1012</v>
      </c>
      <c r="B61" s="9">
        <v>46186</v>
      </c>
      <c r="C61" t="s">
        <v>41</v>
      </c>
      <c r="D61" t="s">
        <v>19</v>
      </c>
      <c r="E61" t="s">
        <v>42</v>
      </c>
      <c r="F61" t="s">
        <v>15</v>
      </c>
      <c r="G61">
        <v>7</v>
      </c>
      <c r="H61">
        <v>1500</v>
      </c>
      <c r="I61">
        <v>20</v>
      </c>
      <c r="J61" t="s">
        <v>37</v>
      </c>
      <c r="K61" t="s">
        <v>28</v>
      </c>
      <c r="L61">
        <f t="shared" si="10"/>
        <v>8400</v>
      </c>
      <c r="M61" t="str">
        <f t="shared" si="11"/>
        <v>low sales</v>
      </c>
      <c r="N61" t="str">
        <f t="shared" si="12"/>
        <v>average</v>
      </c>
      <c r="O61" t="str">
        <f t="shared" si="13"/>
        <v>NO BONUS</v>
      </c>
      <c r="P61" s="1">
        <f t="shared" si="14"/>
        <v>2026</v>
      </c>
      <c r="Q61" s="1">
        <f t="shared" si="15"/>
        <v>6</v>
      </c>
      <c r="R61" s="1" t="str">
        <f t="shared" si="16"/>
        <v>June</v>
      </c>
      <c r="S61" s="1" t="str">
        <f t="shared" si="17"/>
        <v>Q2</v>
      </c>
      <c r="T61" s="1" t="str">
        <f t="shared" si="18"/>
        <v>Saturday</v>
      </c>
      <c r="U61" s="1">
        <f t="shared" si="19"/>
        <v>24</v>
      </c>
    </row>
    <row r="62" spans="1:21" x14ac:dyDescent="0.25">
      <c r="A62">
        <v>1057</v>
      </c>
      <c r="B62" s="9">
        <v>46057</v>
      </c>
      <c r="C62" t="s">
        <v>45</v>
      </c>
      <c r="D62" t="s">
        <v>19</v>
      </c>
      <c r="E62" t="s">
        <v>20</v>
      </c>
      <c r="F62" t="s">
        <v>21</v>
      </c>
      <c r="G62">
        <v>6</v>
      </c>
      <c r="H62">
        <v>12000</v>
      </c>
      <c r="I62">
        <v>10</v>
      </c>
      <c r="J62" t="s">
        <v>22</v>
      </c>
      <c r="K62" t="s">
        <v>31</v>
      </c>
      <c r="L62">
        <f t="shared" si="10"/>
        <v>64800</v>
      </c>
      <c r="M62" t="str">
        <f t="shared" si="11"/>
        <v>high sales</v>
      </c>
      <c r="N62" t="str">
        <f t="shared" si="12"/>
        <v>good</v>
      </c>
      <c r="O62" t="str">
        <f t="shared" si="13"/>
        <v>BONUS</v>
      </c>
      <c r="P62" s="1">
        <f t="shared" si="14"/>
        <v>2026</v>
      </c>
      <c r="Q62" s="1">
        <f t="shared" si="15"/>
        <v>2</v>
      </c>
      <c r="R62" s="1" t="str">
        <f t="shared" si="16"/>
        <v>February</v>
      </c>
      <c r="S62" s="1" t="str">
        <f t="shared" si="17"/>
        <v>Q1</v>
      </c>
      <c r="T62" s="1" t="str">
        <f t="shared" si="18"/>
        <v>Wednesday</v>
      </c>
      <c r="U62" s="1">
        <f t="shared" si="19"/>
        <v>6</v>
      </c>
    </row>
    <row r="63" spans="1:21" x14ac:dyDescent="0.25">
      <c r="A63">
        <v>1019</v>
      </c>
      <c r="B63" s="9">
        <v>46102</v>
      </c>
      <c r="C63" t="s">
        <v>18</v>
      </c>
      <c r="D63" t="s">
        <v>19</v>
      </c>
      <c r="E63" t="s">
        <v>40</v>
      </c>
      <c r="F63" t="s">
        <v>26</v>
      </c>
      <c r="G63">
        <v>1</v>
      </c>
      <c r="H63">
        <v>500</v>
      </c>
      <c r="I63">
        <v>20</v>
      </c>
      <c r="J63" t="s">
        <v>35</v>
      </c>
      <c r="K63" t="s">
        <v>28</v>
      </c>
      <c r="L63">
        <f t="shared" si="10"/>
        <v>400</v>
      </c>
      <c r="M63" t="str">
        <f t="shared" si="11"/>
        <v>low sales</v>
      </c>
      <c r="N63" t="str">
        <f t="shared" si="12"/>
        <v>LOW SALES</v>
      </c>
      <c r="O63" t="str">
        <f t="shared" si="13"/>
        <v>NO BONUS</v>
      </c>
      <c r="P63" s="1">
        <f t="shared" si="14"/>
        <v>2026</v>
      </c>
      <c r="Q63" s="1">
        <f t="shared" si="15"/>
        <v>3</v>
      </c>
      <c r="R63" s="1" t="str">
        <f t="shared" si="16"/>
        <v>March</v>
      </c>
      <c r="S63" s="1" t="str">
        <f t="shared" si="17"/>
        <v>Q1</v>
      </c>
      <c r="T63" s="1" t="str">
        <f t="shared" si="18"/>
        <v>Saturday</v>
      </c>
      <c r="U63" s="1">
        <f t="shared" si="19"/>
        <v>12</v>
      </c>
    </row>
    <row r="64" spans="1:21" x14ac:dyDescent="0.25">
      <c r="A64">
        <v>1002</v>
      </c>
      <c r="B64" s="9">
        <v>46061</v>
      </c>
      <c r="C64" t="s">
        <v>18</v>
      </c>
      <c r="D64" t="s">
        <v>19</v>
      </c>
      <c r="E64" t="s">
        <v>20</v>
      </c>
      <c r="F64" t="s">
        <v>21</v>
      </c>
      <c r="G64">
        <v>5</v>
      </c>
      <c r="H64">
        <v>5000</v>
      </c>
      <c r="I64">
        <v>0</v>
      </c>
      <c r="J64" t="s">
        <v>22</v>
      </c>
      <c r="K64" t="s">
        <v>17</v>
      </c>
      <c r="L64">
        <f t="shared" si="10"/>
        <v>25000</v>
      </c>
      <c r="M64" t="str">
        <f t="shared" si="11"/>
        <v>high sales</v>
      </c>
      <c r="N64" t="str">
        <f t="shared" si="12"/>
        <v>good</v>
      </c>
      <c r="O64" t="str">
        <f t="shared" si="13"/>
        <v>BONUS</v>
      </c>
      <c r="P64" s="1">
        <f t="shared" si="14"/>
        <v>2026</v>
      </c>
      <c r="Q64" s="1">
        <f t="shared" si="15"/>
        <v>2</v>
      </c>
      <c r="R64" s="1" t="str">
        <f t="shared" si="16"/>
        <v>February</v>
      </c>
      <c r="S64" s="1" t="str">
        <f t="shared" si="17"/>
        <v>Q1</v>
      </c>
      <c r="T64" s="1" t="str">
        <f t="shared" si="18"/>
        <v>Sunday</v>
      </c>
      <c r="U64" s="1">
        <f t="shared" si="19"/>
        <v>7</v>
      </c>
    </row>
    <row r="65" spans="1:21" x14ac:dyDescent="0.25">
      <c r="A65">
        <v>1098</v>
      </c>
      <c r="B65" s="9">
        <v>46027</v>
      </c>
      <c r="C65" t="s">
        <v>43</v>
      </c>
      <c r="D65" t="s">
        <v>19</v>
      </c>
      <c r="E65" t="s">
        <v>30</v>
      </c>
      <c r="F65" t="s">
        <v>21</v>
      </c>
      <c r="G65">
        <v>5</v>
      </c>
      <c r="H65">
        <v>2500</v>
      </c>
      <c r="I65">
        <v>20</v>
      </c>
      <c r="J65" t="s">
        <v>22</v>
      </c>
      <c r="K65" t="s">
        <v>31</v>
      </c>
      <c r="L65">
        <f t="shared" si="10"/>
        <v>10000</v>
      </c>
      <c r="M65" t="str">
        <f t="shared" si="11"/>
        <v>low sales</v>
      </c>
      <c r="N65" t="str">
        <f t="shared" si="12"/>
        <v>average</v>
      </c>
      <c r="O65" t="str">
        <f t="shared" si="13"/>
        <v>BONUS</v>
      </c>
      <c r="P65" s="1">
        <f t="shared" si="14"/>
        <v>2026</v>
      </c>
      <c r="Q65" s="1">
        <f t="shared" si="15"/>
        <v>1</v>
      </c>
      <c r="R65" s="1" t="str">
        <f t="shared" si="16"/>
        <v>January</v>
      </c>
      <c r="S65" s="1" t="str">
        <f t="shared" si="17"/>
        <v>Q1</v>
      </c>
      <c r="T65" s="1" t="str">
        <f t="shared" si="18"/>
        <v>Monday</v>
      </c>
      <c r="U65" s="1">
        <f t="shared" si="19"/>
        <v>2</v>
      </c>
    </row>
    <row r="66" spans="1:21" x14ac:dyDescent="0.25">
      <c r="A66">
        <v>1052</v>
      </c>
      <c r="B66" s="9">
        <v>46067</v>
      </c>
      <c r="C66" t="s">
        <v>43</v>
      </c>
      <c r="D66" t="s">
        <v>19</v>
      </c>
      <c r="E66" t="s">
        <v>34</v>
      </c>
      <c r="F66" t="s">
        <v>21</v>
      </c>
      <c r="G66">
        <v>6</v>
      </c>
      <c r="H66">
        <v>5000</v>
      </c>
      <c r="I66">
        <v>0</v>
      </c>
      <c r="J66" t="s">
        <v>37</v>
      </c>
      <c r="K66" t="s">
        <v>31</v>
      </c>
      <c r="L66">
        <f t="shared" ref="L66:L101" si="20">G66*H66*(1-I66/100)</f>
        <v>30000</v>
      </c>
      <c r="M66" t="str">
        <f t="shared" ref="M66:M97" si="21">IF(L66&gt;=20000,"high sales","low sales")</f>
        <v>high sales</v>
      </c>
      <c r="N66" t="str">
        <f t="shared" ref="N66:N101" si="22">IF(L66&gt;=115000,"Excellent",IF(L66&gt;=12000,"good",IF(L66&gt;=6000,"average","LOW SALES")))</f>
        <v>good</v>
      </c>
      <c r="O66" t="str">
        <f t="shared" ref="O66:O101" si="23">IF(AND(L66&gt;=9000,D66="SURAT"),"BONUS","NO BONUS")</f>
        <v>BONUS</v>
      </c>
      <c r="P66" s="1">
        <f t="shared" ref="P66:P101" si="24">YEAR(B66)</f>
        <v>2026</v>
      </c>
      <c r="Q66" s="1">
        <f t="shared" ref="Q66:Q101" si="25">MONTH(B66)</f>
        <v>2</v>
      </c>
      <c r="R66" s="1" t="str">
        <f t="shared" ref="R66:R101" si="26">TEXT(B66,"mmmm")</f>
        <v>February</v>
      </c>
      <c r="S66" s="1" t="str">
        <f t="shared" ref="S66:S101" si="27">"Q"&amp;ROUNDUP(MONTH(B66)/3,0)</f>
        <v>Q1</v>
      </c>
      <c r="T66" s="1" t="str">
        <f t="shared" ref="T66:T101" si="28">TEXT(B66,"dddd")</f>
        <v>Saturday</v>
      </c>
      <c r="U66" s="1">
        <f t="shared" ref="U66:U101" si="29">WEEKNUM(B66)</f>
        <v>7</v>
      </c>
    </row>
    <row r="67" spans="1:21" x14ac:dyDescent="0.25">
      <c r="A67">
        <v>1034</v>
      </c>
      <c r="B67" s="9">
        <v>46177</v>
      </c>
      <c r="C67" t="s">
        <v>43</v>
      </c>
      <c r="D67" t="s">
        <v>19</v>
      </c>
      <c r="E67" t="s">
        <v>34</v>
      </c>
      <c r="F67" t="s">
        <v>21</v>
      </c>
      <c r="G67">
        <v>4</v>
      </c>
      <c r="H67">
        <v>12000</v>
      </c>
      <c r="I67">
        <v>0</v>
      </c>
      <c r="J67" t="s">
        <v>27</v>
      </c>
      <c r="K67" t="s">
        <v>39</v>
      </c>
      <c r="L67">
        <f t="shared" si="20"/>
        <v>48000</v>
      </c>
      <c r="M67" t="str">
        <f t="shared" si="21"/>
        <v>high sales</v>
      </c>
      <c r="N67" t="str">
        <f t="shared" si="22"/>
        <v>good</v>
      </c>
      <c r="O67" t="str">
        <f t="shared" si="23"/>
        <v>BONUS</v>
      </c>
      <c r="P67" s="1">
        <f t="shared" si="24"/>
        <v>2026</v>
      </c>
      <c r="Q67" s="1">
        <f t="shared" si="25"/>
        <v>6</v>
      </c>
      <c r="R67" s="1" t="str">
        <f t="shared" si="26"/>
        <v>June</v>
      </c>
      <c r="S67" s="1" t="str">
        <f t="shared" si="27"/>
        <v>Q2</v>
      </c>
      <c r="T67" s="1" t="str">
        <f t="shared" si="28"/>
        <v>Thursday</v>
      </c>
      <c r="U67" s="1">
        <f t="shared" si="29"/>
        <v>23</v>
      </c>
    </row>
    <row r="68" spans="1:21" x14ac:dyDescent="0.25">
      <c r="A68">
        <v>1035</v>
      </c>
      <c r="B68" s="9">
        <v>46049</v>
      </c>
      <c r="C68" t="s">
        <v>36</v>
      </c>
      <c r="D68" t="s">
        <v>19</v>
      </c>
      <c r="E68" t="s">
        <v>42</v>
      </c>
      <c r="F68" t="s">
        <v>15</v>
      </c>
      <c r="G68">
        <v>1</v>
      </c>
      <c r="H68">
        <v>2500</v>
      </c>
      <c r="I68">
        <v>15</v>
      </c>
      <c r="J68" t="s">
        <v>27</v>
      </c>
      <c r="K68" t="s">
        <v>31</v>
      </c>
      <c r="L68">
        <f t="shared" si="20"/>
        <v>2125</v>
      </c>
      <c r="M68" t="str">
        <f t="shared" si="21"/>
        <v>low sales</v>
      </c>
      <c r="N68" t="str">
        <f t="shared" si="22"/>
        <v>LOW SALES</v>
      </c>
      <c r="O68" t="str">
        <f t="shared" si="23"/>
        <v>NO BONUS</v>
      </c>
      <c r="P68" s="1">
        <f t="shared" si="24"/>
        <v>2026</v>
      </c>
      <c r="Q68" s="1">
        <f t="shared" si="25"/>
        <v>1</v>
      </c>
      <c r="R68" s="1" t="str">
        <f t="shared" si="26"/>
        <v>January</v>
      </c>
      <c r="S68" s="1" t="str">
        <f t="shared" si="27"/>
        <v>Q1</v>
      </c>
      <c r="T68" s="1" t="str">
        <f t="shared" si="28"/>
        <v>Tuesday</v>
      </c>
      <c r="U68" s="1">
        <f t="shared" si="29"/>
        <v>5</v>
      </c>
    </row>
    <row r="69" spans="1:21" x14ac:dyDescent="0.25">
      <c r="A69">
        <v>1053</v>
      </c>
      <c r="B69" s="9">
        <v>46106</v>
      </c>
      <c r="C69" t="s">
        <v>36</v>
      </c>
      <c r="D69" t="s">
        <v>19</v>
      </c>
      <c r="E69" t="s">
        <v>34</v>
      </c>
      <c r="F69" t="s">
        <v>21</v>
      </c>
      <c r="G69">
        <v>4</v>
      </c>
      <c r="H69">
        <v>1500</v>
      </c>
      <c r="I69">
        <v>0</v>
      </c>
      <c r="J69" t="s">
        <v>35</v>
      </c>
      <c r="K69" t="s">
        <v>17</v>
      </c>
      <c r="L69">
        <f t="shared" si="20"/>
        <v>6000</v>
      </c>
      <c r="M69" t="str">
        <f t="shared" si="21"/>
        <v>low sales</v>
      </c>
      <c r="N69" t="str">
        <f t="shared" si="22"/>
        <v>average</v>
      </c>
      <c r="O69" t="str">
        <f t="shared" si="23"/>
        <v>NO BONUS</v>
      </c>
      <c r="P69" s="1">
        <f t="shared" si="24"/>
        <v>2026</v>
      </c>
      <c r="Q69" s="1">
        <f t="shared" si="25"/>
        <v>3</v>
      </c>
      <c r="R69" s="1" t="str">
        <f t="shared" si="26"/>
        <v>March</v>
      </c>
      <c r="S69" s="1" t="str">
        <f t="shared" si="27"/>
        <v>Q1</v>
      </c>
      <c r="T69" s="1" t="str">
        <f t="shared" si="28"/>
        <v>Wednesday</v>
      </c>
      <c r="U69" s="1">
        <f t="shared" si="29"/>
        <v>13</v>
      </c>
    </row>
    <row r="70" spans="1:21" x14ac:dyDescent="0.25">
      <c r="A70">
        <v>1025</v>
      </c>
      <c r="B70" s="9">
        <v>46125</v>
      </c>
      <c r="C70" t="s">
        <v>44</v>
      </c>
      <c r="D70" t="s">
        <v>19</v>
      </c>
      <c r="E70" t="s">
        <v>20</v>
      </c>
      <c r="F70" t="s">
        <v>21</v>
      </c>
      <c r="G70">
        <v>4</v>
      </c>
      <c r="H70">
        <v>500</v>
      </c>
      <c r="I70">
        <v>20</v>
      </c>
      <c r="J70" t="s">
        <v>16</v>
      </c>
      <c r="K70" t="s">
        <v>39</v>
      </c>
      <c r="L70">
        <f t="shared" si="20"/>
        <v>1600</v>
      </c>
      <c r="M70" t="str">
        <f t="shared" si="21"/>
        <v>low sales</v>
      </c>
      <c r="N70" t="str">
        <f t="shared" si="22"/>
        <v>LOW SALES</v>
      </c>
      <c r="O70" t="str">
        <f t="shared" si="23"/>
        <v>NO BONUS</v>
      </c>
      <c r="P70" s="1">
        <f t="shared" si="24"/>
        <v>2026</v>
      </c>
      <c r="Q70" s="1">
        <f t="shared" si="25"/>
        <v>4</v>
      </c>
      <c r="R70" s="1" t="str">
        <f t="shared" si="26"/>
        <v>April</v>
      </c>
      <c r="S70" s="1" t="str">
        <f t="shared" si="27"/>
        <v>Q2</v>
      </c>
      <c r="T70" s="1" t="str">
        <f t="shared" si="28"/>
        <v>Monday</v>
      </c>
      <c r="U70" s="1">
        <f t="shared" si="29"/>
        <v>16</v>
      </c>
    </row>
    <row r="71" spans="1:21" x14ac:dyDescent="0.25">
      <c r="A71">
        <v>1091</v>
      </c>
      <c r="B71" s="9">
        <v>46110</v>
      </c>
      <c r="C71" t="s">
        <v>44</v>
      </c>
      <c r="D71" t="s">
        <v>19</v>
      </c>
      <c r="E71" t="s">
        <v>25</v>
      </c>
      <c r="F71" t="s">
        <v>26</v>
      </c>
      <c r="G71">
        <v>5</v>
      </c>
      <c r="H71">
        <v>500</v>
      </c>
      <c r="I71">
        <v>10</v>
      </c>
      <c r="J71" t="s">
        <v>37</v>
      </c>
      <c r="K71" t="s">
        <v>31</v>
      </c>
      <c r="L71">
        <f t="shared" si="20"/>
        <v>2250</v>
      </c>
      <c r="M71" t="str">
        <f t="shared" si="21"/>
        <v>low sales</v>
      </c>
      <c r="N71" t="str">
        <f t="shared" si="22"/>
        <v>LOW SALES</v>
      </c>
      <c r="O71" t="str">
        <f t="shared" si="23"/>
        <v>NO BONUS</v>
      </c>
      <c r="P71" s="1">
        <f t="shared" si="24"/>
        <v>2026</v>
      </c>
      <c r="Q71" s="1">
        <f t="shared" si="25"/>
        <v>3</v>
      </c>
      <c r="R71" s="1" t="str">
        <f t="shared" si="26"/>
        <v>March</v>
      </c>
      <c r="S71" s="1" t="str">
        <f t="shared" si="27"/>
        <v>Q1</v>
      </c>
      <c r="T71" s="1" t="str">
        <f t="shared" si="28"/>
        <v>Sunday</v>
      </c>
      <c r="U71" s="1">
        <f t="shared" si="29"/>
        <v>14</v>
      </c>
    </row>
    <row r="72" spans="1:21" x14ac:dyDescent="0.25">
      <c r="A72">
        <v>1071</v>
      </c>
      <c r="B72" s="9">
        <v>46098</v>
      </c>
      <c r="C72" t="s">
        <v>44</v>
      </c>
      <c r="D72" t="s">
        <v>19</v>
      </c>
      <c r="E72" t="s">
        <v>42</v>
      </c>
      <c r="F72" t="s">
        <v>15</v>
      </c>
      <c r="G72">
        <v>6</v>
      </c>
      <c r="H72">
        <v>5000</v>
      </c>
      <c r="I72">
        <v>5</v>
      </c>
      <c r="J72" t="s">
        <v>35</v>
      </c>
      <c r="K72" t="s">
        <v>31</v>
      </c>
      <c r="L72">
        <f t="shared" si="20"/>
        <v>28500</v>
      </c>
      <c r="M72" t="str">
        <f t="shared" si="21"/>
        <v>high sales</v>
      </c>
      <c r="N72" t="str">
        <f t="shared" si="22"/>
        <v>good</v>
      </c>
      <c r="O72" t="str">
        <f t="shared" si="23"/>
        <v>BONUS</v>
      </c>
      <c r="P72" s="1">
        <f t="shared" si="24"/>
        <v>2026</v>
      </c>
      <c r="Q72" s="1">
        <f t="shared" si="25"/>
        <v>3</v>
      </c>
      <c r="R72" s="1" t="str">
        <f t="shared" si="26"/>
        <v>March</v>
      </c>
      <c r="S72" s="1" t="str">
        <f t="shared" si="27"/>
        <v>Q1</v>
      </c>
      <c r="T72" s="1" t="str">
        <f t="shared" si="28"/>
        <v>Tuesday</v>
      </c>
      <c r="U72" s="1">
        <f t="shared" si="29"/>
        <v>12</v>
      </c>
    </row>
    <row r="73" spans="1:21" x14ac:dyDescent="0.25">
      <c r="A73">
        <v>1077</v>
      </c>
      <c r="B73" s="9">
        <v>46195</v>
      </c>
      <c r="C73" t="s">
        <v>32</v>
      </c>
      <c r="D73" t="s">
        <v>19</v>
      </c>
      <c r="E73" t="s">
        <v>42</v>
      </c>
      <c r="F73" t="s">
        <v>15</v>
      </c>
      <c r="G73">
        <v>9</v>
      </c>
      <c r="H73">
        <v>250</v>
      </c>
      <c r="I73">
        <v>15</v>
      </c>
      <c r="J73" t="s">
        <v>35</v>
      </c>
      <c r="K73" t="s">
        <v>28</v>
      </c>
      <c r="L73">
        <f t="shared" si="20"/>
        <v>1912.5</v>
      </c>
      <c r="M73" t="str">
        <f t="shared" si="21"/>
        <v>low sales</v>
      </c>
      <c r="N73" t="str">
        <f t="shared" si="22"/>
        <v>LOW SALES</v>
      </c>
      <c r="O73" t="str">
        <f t="shared" si="23"/>
        <v>NO BONUS</v>
      </c>
      <c r="P73" s="1">
        <f t="shared" si="24"/>
        <v>2026</v>
      </c>
      <c r="Q73" s="1">
        <f t="shared" si="25"/>
        <v>6</v>
      </c>
      <c r="R73" s="1" t="str">
        <f t="shared" si="26"/>
        <v>June</v>
      </c>
      <c r="S73" s="1" t="str">
        <f t="shared" si="27"/>
        <v>Q2</v>
      </c>
      <c r="T73" s="1" t="str">
        <f t="shared" si="28"/>
        <v>Monday</v>
      </c>
      <c r="U73" s="1">
        <f t="shared" si="29"/>
        <v>26</v>
      </c>
    </row>
    <row r="74" spans="1:21" x14ac:dyDescent="0.25">
      <c r="A74">
        <v>1058</v>
      </c>
      <c r="B74" s="9">
        <v>46186</v>
      </c>
      <c r="C74" t="s">
        <v>32</v>
      </c>
      <c r="D74" t="s">
        <v>19</v>
      </c>
      <c r="E74" t="s">
        <v>34</v>
      </c>
      <c r="F74" t="s">
        <v>21</v>
      </c>
      <c r="G74">
        <v>9</v>
      </c>
      <c r="H74">
        <v>500</v>
      </c>
      <c r="I74">
        <v>15</v>
      </c>
      <c r="J74" t="s">
        <v>35</v>
      </c>
      <c r="K74" t="s">
        <v>39</v>
      </c>
      <c r="L74">
        <f t="shared" si="20"/>
        <v>3825</v>
      </c>
      <c r="M74" t="str">
        <f t="shared" si="21"/>
        <v>low sales</v>
      </c>
      <c r="N74" t="str">
        <f t="shared" si="22"/>
        <v>LOW SALES</v>
      </c>
      <c r="O74" t="str">
        <f t="shared" si="23"/>
        <v>NO BONUS</v>
      </c>
      <c r="P74" s="1">
        <f t="shared" si="24"/>
        <v>2026</v>
      </c>
      <c r="Q74" s="1">
        <f t="shared" si="25"/>
        <v>6</v>
      </c>
      <c r="R74" s="1" t="str">
        <f t="shared" si="26"/>
        <v>June</v>
      </c>
      <c r="S74" s="1" t="str">
        <f t="shared" si="27"/>
        <v>Q2</v>
      </c>
      <c r="T74" s="1" t="str">
        <f t="shared" si="28"/>
        <v>Saturday</v>
      </c>
      <c r="U74" s="1">
        <f t="shared" si="29"/>
        <v>24</v>
      </c>
    </row>
    <row r="75" spans="1:21" x14ac:dyDescent="0.25">
      <c r="A75">
        <v>1061</v>
      </c>
      <c r="B75" s="9">
        <v>46083</v>
      </c>
      <c r="C75" t="s">
        <v>29</v>
      </c>
      <c r="D75" t="s">
        <v>19</v>
      </c>
      <c r="E75" t="s">
        <v>14</v>
      </c>
      <c r="F75" t="s">
        <v>15</v>
      </c>
      <c r="G75">
        <v>3</v>
      </c>
      <c r="H75">
        <v>1000</v>
      </c>
      <c r="I75">
        <v>15</v>
      </c>
      <c r="J75" t="s">
        <v>22</v>
      </c>
      <c r="K75" t="s">
        <v>31</v>
      </c>
      <c r="L75">
        <f t="shared" si="20"/>
        <v>2550</v>
      </c>
      <c r="M75" t="str">
        <f t="shared" si="21"/>
        <v>low sales</v>
      </c>
      <c r="N75" t="str">
        <f t="shared" si="22"/>
        <v>LOW SALES</v>
      </c>
      <c r="O75" t="str">
        <f t="shared" si="23"/>
        <v>NO BONUS</v>
      </c>
      <c r="P75" s="1">
        <f t="shared" si="24"/>
        <v>2026</v>
      </c>
      <c r="Q75" s="1">
        <f t="shared" si="25"/>
        <v>3</v>
      </c>
      <c r="R75" s="1" t="str">
        <f t="shared" si="26"/>
        <v>March</v>
      </c>
      <c r="S75" s="1" t="str">
        <f t="shared" si="27"/>
        <v>Q1</v>
      </c>
      <c r="T75" s="1" t="str">
        <f t="shared" si="28"/>
        <v>Monday</v>
      </c>
      <c r="U75" s="1">
        <f t="shared" si="29"/>
        <v>10</v>
      </c>
    </row>
    <row r="76" spans="1:21" x14ac:dyDescent="0.25">
      <c r="A76">
        <v>1075</v>
      </c>
      <c r="B76" s="9">
        <v>46045</v>
      </c>
      <c r="C76" t="s">
        <v>29</v>
      </c>
      <c r="D76" t="s">
        <v>19</v>
      </c>
      <c r="E76" t="s">
        <v>14</v>
      </c>
      <c r="F76" t="s">
        <v>15</v>
      </c>
      <c r="G76">
        <v>7</v>
      </c>
      <c r="H76">
        <v>5000</v>
      </c>
      <c r="I76">
        <v>20</v>
      </c>
      <c r="J76" t="s">
        <v>16</v>
      </c>
      <c r="K76" t="s">
        <v>17</v>
      </c>
      <c r="L76">
        <f t="shared" si="20"/>
        <v>28000</v>
      </c>
      <c r="M76" t="str">
        <f t="shared" si="21"/>
        <v>high sales</v>
      </c>
      <c r="N76" t="str">
        <f t="shared" si="22"/>
        <v>good</v>
      </c>
      <c r="O76" t="str">
        <f t="shared" si="23"/>
        <v>BONUS</v>
      </c>
      <c r="P76" s="1">
        <f t="shared" si="24"/>
        <v>2026</v>
      </c>
      <c r="Q76" s="1">
        <f t="shared" si="25"/>
        <v>1</v>
      </c>
      <c r="R76" s="1" t="str">
        <f t="shared" si="26"/>
        <v>January</v>
      </c>
      <c r="S76" s="1" t="str">
        <f t="shared" si="27"/>
        <v>Q1</v>
      </c>
      <c r="T76" s="1" t="str">
        <f t="shared" si="28"/>
        <v>Friday</v>
      </c>
      <c r="U76" s="1">
        <f t="shared" si="29"/>
        <v>4</v>
      </c>
    </row>
    <row r="77" spans="1:21" x14ac:dyDescent="0.25">
      <c r="A77">
        <v>1029</v>
      </c>
      <c r="B77" s="9">
        <v>46061</v>
      </c>
      <c r="C77" t="s">
        <v>12</v>
      </c>
      <c r="D77" t="s">
        <v>19</v>
      </c>
      <c r="E77" t="s">
        <v>30</v>
      </c>
      <c r="F77" t="s">
        <v>21</v>
      </c>
      <c r="G77">
        <v>7</v>
      </c>
      <c r="H77">
        <v>750</v>
      </c>
      <c r="I77">
        <v>15</v>
      </c>
      <c r="J77" t="s">
        <v>22</v>
      </c>
      <c r="K77" t="s">
        <v>31</v>
      </c>
      <c r="L77">
        <f t="shared" si="20"/>
        <v>4462.5</v>
      </c>
      <c r="M77" t="str">
        <f t="shared" si="21"/>
        <v>low sales</v>
      </c>
      <c r="N77" t="str">
        <f t="shared" si="22"/>
        <v>LOW SALES</v>
      </c>
      <c r="O77" t="str">
        <f t="shared" si="23"/>
        <v>NO BONUS</v>
      </c>
      <c r="P77" s="1">
        <f t="shared" si="24"/>
        <v>2026</v>
      </c>
      <c r="Q77" s="1">
        <f t="shared" si="25"/>
        <v>2</v>
      </c>
      <c r="R77" s="1" t="str">
        <f t="shared" si="26"/>
        <v>February</v>
      </c>
      <c r="S77" s="1" t="str">
        <f t="shared" si="27"/>
        <v>Q1</v>
      </c>
      <c r="T77" s="1" t="str">
        <f t="shared" si="28"/>
        <v>Sunday</v>
      </c>
      <c r="U77" s="1">
        <f t="shared" si="29"/>
        <v>7</v>
      </c>
    </row>
    <row r="78" spans="1:21" x14ac:dyDescent="0.25">
      <c r="A78">
        <v>1089</v>
      </c>
      <c r="B78" s="9">
        <v>46201</v>
      </c>
      <c r="C78" t="s">
        <v>12</v>
      </c>
      <c r="D78" t="s">
        <v>19</v>
      </c>
      <c r="E78" t="s">
        <v>40</v>
      </c>
      <c r="F78" t="s">
        <v>26</v>
      </c>
      <c r="G78">
        <v>10</v>
      </c>
      <c r="H78">
        <v>750</v>
      </c>
      <c r="I78">
        <v>0</v>
      </c>
      <c r="J78" t="s">
        <v>27</v>
      </c>
      <c r="K78" t="s">
        <v>17</v>
      </c>
      <c r="L78">
        <f t="shared" si="20"/>
        <v>7500</v>
      </c>
      <c r="M78" t="str">
        <f t="shared" si="21"/>
        <v>low sales</v>
      </c>
      <c r="N78" t="str">
        <f t="shared" si="22"/>
        <v>average</v>
      </c>
      <c r="O78" t="str">
        <f t="shared" si="23"/>
        <v>NO BONUS</v>
      </c>
      <c r="P78" s="1">
        <f t="shared" si="24"/>
        <v>2026</v>
      </c>
      <c r="Q78" s="1">
        <f t="shared" si="25"/>
        <v>6</v>
      </c>
      <c r="R78" s="1" t="str">
        <f t="shared" si="26"/>
        <v>June</v>
      </c>
      <c r="S78" s="1" t="str">
        <f t="shared" si="27"/>
        <v>Q2</v>
      </c>
      <c r="T78" s="1" t="str">
        <f t="shared" si="28"/>
        <v>Sunday</v>
      </c>
      <c r="U78" s="1">
        <f t="shared" si="29"/>
        <v>27</v>
      </c>
    </row>
    <row r="79" spans="1:21" x14ac:dyDescent="0.25">
      <c r="A79">
        <v>1048</v>
      </c>
      <c r="B79" s="9">
        <v>46082</v>
      </c>
      <c r="C79" t="s">
        <v>12</v>
      </c>
      <c r="D79" t="s">
        <v>19</v>
      </c>
      <c r="E79" t="s">
        <v>42</v>
      </c>
      <c r="F79" t="s">
        <v>15</v>
      </c>
      <c r="G79">
        <v>5</v>
      </c>
      <c r="H79">
        <v>5000</v>
      </c>
      <c r="I79">
        <v>10</v>
      </c>
      <c r="J79" t="s">
        <v>22</v>
      </c>
      <c r="K79" t="s">
        <v>28</v>
      </c>
      <c r="L79">
        <f t="shared" si="20"/>
        <v>22500</v>
      </c>
      <c r="M79" t="str">
        <f t="shared" si="21"/>
        <v>high sales</v>
      </c>
      <c r="N79" t="str">
        <f t="shared" si="22"/>
        <v>good</v>
      </c>
      <c r="O79" t="str">
        <f t="shared" si="23"/>
        <v>BONUS</v>
      </c>
      <c r="P79" s="1">
        <f t="shared" si="24"/>
        <v>2026</v>
      </c>
      <c r="Q79" s="1">
        <f t="shared" si="25"/>
        <v>3</v>
      </c>
      <c r="R79" s="1" t="str">
        <f t="shared" si="26"/>
        <v>March</v>
      </c>
      <c r="S79" s="1" t="str">
        <f t="shared" si="27"/>
        <v>Q1</v>
      </c>
      <c r="T79" s="1" t="str">
        <f t="shared" si="28"/>
        <v>Sunday</v>
      </c>
      <c r="U79" s="1">
        <f t="shared" si="29"/>
        <v>10</v>
      </c>
    </row>
    <row r="80" spans="1:21" x14ac:dyDescent="0.25">
      <c r="A80">
        <v>1036</v>
      </c>
      <c r="B80" s="9">
        <v>46091</v>
      </c>
      <c r="C80" t="s">
        <v>23</v>
      </c>
      <c r="D80" t="s">
        <v>19</v>
      </c>
      <c r="E80" t="s">
        <v>14</v>
      </c>
      <c r="F80" t="s">
        <v>15</v>
      </c>
      <c r="G80">
        <v>1</v>
      </c>
      <c r="H80">
        <v>2500</v>
      </c>
      <c r="I80">
        <v>0</v>
      </c>
      <c r="J80" t="s">
        <v>16</v>
      </c>
      <c r="K80" t="s">
        <v>28</v>
      </c>
      <c r="L80">
        <f t="shared" si="20"/>
        <v>2500</v>
      </c>
      <c r="M80" t="str">
        <f t="shared" si="21"/>
        <v>low sales</v>
      </c>
      <c r="N80" t="str">
        <f t="shared" si="22"/>
        <v>LOW SALES</v>
      </c>
      <c r="O80" t="str">
        <f t="shared" si="23"/>
        <v>NO BONUS</v>
      </c>
      <c r="P80" s="1">
        <f t="shared" si="24"/>
        <v>2026</v>
      </c>
      <c r="Q80" s="1">
        <f t="shared" si="25"/>
        <v>3</v>
      </c>
      <c r="R80" s="1" t="str">
        <f t="shared" si="26"/>
        <v>March</v>
      </c>
      <c r="S80" s="1" t="str">
        <f t="shared" si="27"/>
        <v>Q1</v>
      </c>
      <c r="T80" s="1" t="str">
        <f t="shared" si="28"/>
        <v>Tuesday</v>
      </c>
      <c r="U80" s="1">
        <f t="shared" si="29"/>
        <v>11</v>
      </c>
    </row>
    <row r="81" spans="1:21" x14ac:dyDescent="0.25">
      <c r="A81">
        <v>1032</v>
      </c>
      <c r="B81" s="9">
        <v>46037</v>
      </c>
      <c r="C81" t="s">
        <v>23</v>
      </c>
      <c r="D81" t="s">
        <v>19</v>
      </c>
      <c r="E81" t="s">
        <v>30</v>
      </c>
      <c r="F81" t="s">
        <v>21</v>
      </c>
      <c r="G81">
        <v>3</v>
      </c>
      <c r="H81">
        <v>1500</v>
      </c>
      <c r="I81">
        <v>0</v>
      </c>
      <c r="J81" t="s">
        <v>22</v>
      </c>
      <c r="K81" t="s">
        <v>39</v>
      </c>
      <c r="L81">
        <f t="shared" si="20"/>
        <v>4500</v>
      </c>
      <c r="M81" t="str">
        <f t="shared" si="21"/>
        <v>low sales</v>
      </c>
      <c r="N81" t="str">
        <f t="shared" si="22"/>
        <v>LOW SALES</v>
      </c>
      <c r="O81" t="str">
        <f t="shared" si="23"/>
        <v>NO BONUS</v>
      </c>
      <c r="P81" s="1">
        <f t="shared" si="24"/>
        <v>2026</v>
      </c>
      <c r="Q81" s="1">
        <f t="shared" si="25"/>
        <v>1</v>
      </c>
      <c r="R81" s="1" t="str">
        <f t="shared" si="26"/>
        <v>January</v>
      </c>
      <c r="S81" s="1" t="str">
        <f t="shared" si="27"/>
        <v>Q1</v>
      </c>
      <c r="T81" s="1" t="str">
        <f t="shared" si="28"/>
        <v>Thursday</v>
      </c>
      <c r="U81" s="1">
        <f t="shared" si="29"/>
        <v>3</v>
      </c>
    </row>
    <row r="82" spans="1:21" x14ac:dyDescent="0.25">
      <c r="A82">
        <v>1070</v>
      </c>
      <c r="B82" s="9">
        <v>46193</v>
      </c>
      <c r="C82" t="s">
        <v>41</v>
      </c>
      <c r="D82" t="s">
        <v>33</v>
      </c>
      <c r="E82" t="s">
        <v>14</v>
      </c>
      <c r="F82" t="s">
        <v>15</v>
      </c>
      <c r="G82">
        <v>9</v>
      </c>
      <c r="H82">
        <v>2500</v>
      </c>
      <c r="I82">
        <v>20</v>
      </c>
      <c r="J82" t="s">
        <v>27</v>
      </c>
      <c r="K82" t="s">
        <v>31</v>
      </c>
      <c r="L82">
        <f t="shared" si="20"/>
        <v>18000</v>
      </c>
      <c r="M82" t="str">
        <f t="shared" si="21"/>
        <v>low sales</v>
      </c>
      <c r="N82" t="str">
        <f t="shared" si="22"/>
        <v>good</v>
      </c>
      <c r="O82" t="str">
        <f t="shared" si="23"/>
        <v>NO BONUS</v>
      </c>
      <c r="P82" s="1">
        <f t="shared" si="24"/>
        <v>2026</v>
      </c>
      <c r="Q82" s="1">
        <f t="shared" si="25"/>
        <v>6</v>
      </c>
      <c r="R82" s="1" t="str">
        <f t="shared" si="26"/>
        <v>June</v>
      </c>
      <c r="S82" s="1" t="str">
        <f t="shared" si="27"/>
        <v>Q2</v>
      </c>
      <c r="T82" s="1" t="str">
        <f t="shared" si="28"/>
        <v>Saturday</v>
      </c>
      <c r="U82" s="1">
        <f t="shared" si="29"/>
        <v>25</v>
      </c>
    </row>
    <row r="83" spans="1:21" x14ac:dyDescent="0.25">
      <c r="A83">
        <v>1045</v>
      </c>
      <c r="B83" s="9">
        <v>46090</v>
      </c>
      <c r="C83" t="s">
        <v>45</v>
      </c>
      <c r="D83" t="s">
        <v>33</v>
      </c>
      <c r="E83" t="s">
        <v>42</v>
      </c>
      <c r="F83" t="s">
        <v>15</v>
      </c>
      <c r="G83">
        <v>3</v>
      </c>
      <c r="H83">
        <v>250</v>
      </c>
      <c r="I83">
        <v>20</v>
      </c>
      <c r="J83" t="s">
        <v>16</v>
      </c>
      <c r="K83" t="s">
        <v>39</v>
      </c>
      <c r="L83">
        <f t="shared" si="20"/>
        <v>600</v>
      </c>
      <c r="M83" t="str">
        <f t="shared" si="21"/>
        <v>low sales</v>
      </c>
      <c r="N83" t="str">
        <f t="shared" si="22"/>
        <v>LOW SALES</v>
      </c>
      <c r="O83" t="str">
        <f t="shared" si="23"/>
        <v>NO BONUS</v>
      </c>
      <c r="P83" s="1">
        <f t="shared" si="24"/>
        <v>2026</v>
      </c>
      <c r="Q83" s="1">
        <f t="shared" si="25"/>
        <v>3</v>
      </c>
      <c r="R83" s="1" t="str">
        <f t="shared" si="26"/>
        <v>March</v>
      </c>
      <c r="S83" s="1" t="str">
        <f t="shared" si="27"/>
        <v>Q1</v>
      </c>
      <c r="T83" s="1" t="str">
        <f t="shared" si="28"/>
        <v>Monday</v>
      </c>
      <c r="U83" s="1">
        <f t="shared" si="29"/>
        <v>11</v>
      </c>
    </row>
    <row r="84" spans="1:21" x14ac:dyDescent="0.25">
      <c r="A84">
        <v>1093</v>
      </c>
      <c r="B84" s="9">
        <v>46149</v>
      </c>
      <c r="C84" t="s">
        <v>18</v>
      </c>
      <c r="D84" t="s">
        <v>33</v>
      </c>
      <c r="E84" t="s">
        <v>42</v>
      </c>
      <c r="F84" t="s">
        <v>15</v>
      </c>
      <c r="G84">
        <v>7</v>
      </c>
      <c r="H84">
        <v>500</v>
      </c>
      <c r="I84">
        <v>10</v>
      </c>
      <c r="J84" t="s">
        <v>22</v>
      </c>
      <c r="K84" t="s">
        <v>39</v>
      </c>
      <c r="L84">
        <f t="shared" si="20"/>
        <v>3150</v>
      </c>
      <c r="M84" t="str">
        <f t="shared" si="21"/>
        <v>low sales</v>
      </c>
      <c r="N84" t="str">
        <f t="shared" si="22"/>
        <v>LOW SALES</v>
      </c>
      <c r="O84" t="str">
        <f t="shared" si="23"/>
        <v>NO BONUS</v>
      </c>
      <c r="P84" s="1">
        <f t="shared" si="24"/>
        <v>2026</v>
      </c>
      <c r="Q84" s="1">
        <f t="shared" si="25"/>
        <v>5</v>
      </c>
      <c r="R84" s="1" t="str">
        <f t="shared" si="26"/>
        <v>May</v>
      </c>
      <c r="S84" s="1" t="str">
        <f t="shared" si="27"/>
        <v>Q2</v>
      </c>
      <c r="T84" s="1" t="str">
        <f t="shared" si="28"/>
        <v>Thursday</v>
      </c>
      <c r="U84" s="1">
        <f t="shared" si="29"/>
        <v>19</v>
      </c>
    </row>
    <row r="85" spans="1:21" x14ac:dyDescent="0.25">
      <c r="A85">
        <v>1066</v>
      </c>
      <c r="B85" s="9">
        <v>46028</v>
      </c>
      <c r="C85" t="s">
        <v>43</v>
      </c>
      <c r="D85" t="s">
        <v>33</v>
      </c>
      <c r="E85" t="s">
        <v>20</v>
      </c>
      <c r="F85" t="s">
        <v>21</v>
      </c>
      <c r="G85">
        <v>5</v>
      </c>
      <c r="H85">
        <v>250</v>
      </c>
      <c r="I85">
        <v>15</v>
      </c>
      <c r="J85" t="s">
        <v>35</v>
      </c>
      <c r="K85" t="s">
        <v>17</v>
      </c>
      <c r="L85">
        <f t="shared" si="20"/>
        <v>1062.5</v>
      </c>
      <c r="M85" t="str">
        <f t="shared" si="21"/>
        <v>low sales</v>
      </c>
      <c r="N85" t="str">
        <f t="shared" si="22"/>
        <v>LOW SALES</v>
      </c>
      <c r="O85" t="str">
        <f t="shared" si="23"/>
        <v>NO BONUS</v>
      </c>
      <c r="P85" s="1">
        <f t="shared" si="24"/>
        <v>2026</v>
      </c>
      <c r="Q85" s="1">
        <f t="shared" si="25"/>
        <v>1</v>
      </c>
      <c r="R85" s="1" t="str">
        <f t="shared" si="26"/>
        <v>January</v>
      </c>
      <c r="S85" s="1" t="str">
        <f t="shared" si="27"/>
        <v>Q1</v>
      </c>
      <c r="T85" s="1" t="str">
        <f t="shared" si="28"/>
        <v>Tuesday</v>
      </c>
      <c r="U85" s="1">
        <f t="shared" si="29"/>
        <v>2</v>
      </c>
    </row>
    <row r="86" spans="1:21" x14ac:dyDescent="0.25">
      <c r="A86">
        <v>1020</v>
      </c>
      <c r="B86" s="9">
        <v>46109</v>
      </c>
      <c r="C86" t="s">
        <v>43</v>
      </c>
      <c r="D86" t="s">
        <v>33</v>
      </c>
      <c r="E86" t="s">
        <v>14</v>
      </c>
      <c r="F86" t="s">
        <v>15</v>
      </c>
      <c r="G86">
        <v>8</v>
      </c>
      <c r="H86">
        <v>500</v>
      </c>
      <c r="I86">
        <v>0</v>
      </c>
      <c r="J86" t="s">
        <v>35</v>
      </c>
      <c r="K86" t="s">
        <v>39</v>
      </c>
      <c r="L86">
        <f t="shared" si="20"/>
        <v>4000</v>
      </c>
      <c r="M86" t="str">
        <f t="shared" si="21"/>
        <v>low sales</v>
      </c>
      <c r="N86" t="str">
        <f t="shared" si="22"/>
        <v>LOW SALES</v>
      </c>
      <c r="O86" t="str">
        <f t="shared" si="23"/>
        <v>NO BONUS</v>
      </c>
      <c r="P86" s="1">
        <f t="shared" si="24"/>
        <v>2026</v>
      </c>
      <c r="Q86" s="1">
        <f t="shared" si="25"/>
        <v>3</v>
      </c>
      <c r="R86" s="1" t="str">
        <f t="shared" si="26"/>
        <v>March</v>
      </c>
      <c r="S86" s="1" t="str">
        <f t="shared" si="27"/>
        <v>Q1</v>
      </c>
      <c r="T86" s="1" t="str">
        <f t="shared" si="28"/>
        <v>Saturday</v>
      </c>
      <c r="U86" s="1">
        <f t="shared" si="29"/>
        <v>13</v>
      </c>
    </row>
    <row r="87" spans="1:21" x14ac:dyDescent="0.25">
      <c r="A87">
        <v>1086</v>
      </c>
      <c r="B87" s="9">
        <v>46067</v>
      </c>
      <c r="C87" t="s">
        <v>43</v>
      </c>
      <c r="D87" t="s">
        <v>33</v>
      </c>
      <c r="E87" t="s">
        <v>25</v>
      </c>
      <c r="F87" t="s">
        <v>26</v>
      </c>
      <c r="G87">
        <v>10</v>
      </c>
      <c r="H87">
        <v>2500</v>
      </c>
      <c r="I87">
        <v>15</v>
      </c>
      <c r="J87" t="s">
        <v>27</v>
      </c>
      <c r="K87" t="s">
        <v>39</v>
      </c>
      <c r="L87">
        <f t="shared" si="20"/>
        <v>21250</v>
      </c>
      <c r="M87" t="str">
        <f t="shared" si="21"/>
        <v>high sales</v>
      </c>
      <c r="N87" t="str">
        <f t="shared" si="22"/>
        <v>good</v>
      </c>
      <c r="O87" t="str">
        <f t="shared" si="23"/>
        <v>NO BONUS</v>
      </c>
      <c r="P87" s="1">
        <f t="shared" si="24"/>
        <v>2026</v>
      </c>
      <c r="Q87" s="1">
        <f t="shared" si="25"/>
        <v>2</v>
      </c>
      <c r="R87" s="1" t="str">
        <f t="shared" si="26"/>
        <v>February</v>
      </c>
      <c r="S87" s="1" t="str">
        <f t="shared" si="27"/>
        <v>Q1</v>
      </c>
      <c r="T87" s="1" t="str">
        <f t="shared" si="28"/>
        <v>Saturday</v>
      </c>
      <c r="U87" s="1">
        <f t="shared" si="29"/>
        <v>7</v>
      </c>
    </row>
    <row r="88" spans="1:21" x14ac:dyDescent="0.25">
      <c r="A88">
        <v>1085</v>
      </c>
      <c r="B88" s="9">
        <v>46195</v>
      </c>
      <c r="C88" t="s">
        <v>36</v>
      </c>
      <c r="D88" t="s">
        <v>33</v>
      </c>
      <c r="E88" t="s">
        <v>20</v>
      </c>
      <c r="F88" t="s">
        <v>21</v>
      </c>
      <c r="G88">
        <v>2</v>
      </c>
      <c r="H88">
        <v>750</v>
      </c>
      <c r="I88">
        <v>15</v>
      </c>
      <c r="J88" t="s">
        <v>16</v>
      </c>
      <c r="K88" t="s">
        <v>28</v>
      </c>
      <c r="L88">
        <f t="shared" si="20"/>
        <v>1275</v>
      </c>
      <c r="M88" t="str">
        <f t="shared" si="21"/>
        <v>low sales</v>
      </c>
      <c r="N88" t="str">
        <f t="shared" si="22"/>
        <v>LOW SALES</v>
      </c>
      <c r="O88" t="str">
        <f t="shared" si="23"/>
        <v>NO BONUS</v>
      </c>
      <c r="P88" s="1">
        <f t="shared" si="24"/>
        <v>2026</v>
      </c>
      <c r="Q88" s="1">
        <f t="shared" si="25"/>
        <v>6</v>
      </c>
      <c r="R88" s="1" t="str">
        <f t="shared" si="26"/>
        <v>June</v>
      </c>
      <c r="S88" s="1" t="str">
        <f t="shared" si="27"/>
        <v>Q2</v>
      </c>
      <c r="T88" s="1" t="str">
        <f t="shared" si="28"/>
        <v>Monday</v>
      </c>
      <c r="U88" s="1">
        <f t="shared" si="29"/>
        <v>26</v>
      </c>
    </row>
    <row r="89" spans="1:21" x14ac:dyDescent="0.25">
      <c r="A89">
        <v>1084</v>
      </c>
      <c r="B89" s="9">
        <v>46088</v>
      </c>
      <c r="C89" t="s">
        <v>36</v>
      </c>
      <c r="D89" t="s">
        <v>33</v>
      </c>
      <c r="E89" t="s">
        <v>25</v>
      </c>
      <c r="F89" t="s">
        <v>26</v>
      </c>
      <c r="G89">
        <v>1</v>
      </c>
      <c r="H89">
        <v>1500</v>
      </c>
      <c r="I89">
        <v>0</v>
      </c>
      <c r="J89" t="s">
        <v>35</v>
      </c>
      <c r="K89" t="s">
        <v>39</v>
      </c>
      <c r="L89">
        <f t="shared" si="20"/>
        <v>1500</v>
      </c>
      <c r="M89" t="str">
        <f t="shared" si="21"/>
        <v>low sales</v>
      </c>
      <c r="N89" t="str">
        <f t="shared" si="22"/>
        <v>LOW SALES</v>
      </c>
      <c r="O89" t="str">
        <f t="shared" si="23"/>
        <v>NO BONUS</v>
      </c>
      <c r="P89" s="1">
        <f t="shared" si="24"/>
        <v>2026</v>
      </c>
      <c r="Q89" s="1">
        <f t="shared" si="25"/>
        <v>3</v>
      </c>
      <c r="R89" s="1" t="str">
        <f t="shared" si="26"/>
        <v>March</v>
      </c>
      <c r="S89" s="1" t="str">
        <f t="shared" si="27"/>
        <v>Q1</v>
      </c>
      <c r="T89" s="1" t="str">
        <f t="shared" si="28"/>
        <v>Saturday</v>
      </c>
      <c r="U89" s="1">
        <f t="shared" si="29"/>
        <v>10</v>
      </c>
    </row>
    <row r="90" spans="1:21" x14ac:dyDescent="0.25">
      <c r="A90">
        <v>1056</v>
      </c>
      <c r="B90" s="9">
        <v>46040</v>
      </c>
      <c r="C90" t="s">
        <v>36</v>
      </c>
      <c r="D90" t="s">
        <v>33</v>
      </c>
      <c r="E90" t="s">
        <v>34</v>
      </c>
      <c r="F90" t="s">
        <v>21</v>
      </c>
      <c r="G90">
        <v>3</v>
      </c>
      <c r="H90">
        <v>750</v>
      </c>
      <c r="I90">
        <v>10</v>
      </c>
      <c r="J90" t="s">
        <v>37</v>
      </c>
      <c r="K90" t="s">
        <v>39</v>
      </c>
      <c r="L90">
        <f t="shared" si="20"/>
        <v>2025</v>
      </c>
      <c r="M90" t="str">
        <f t="shared" si="21"/>
        <v>low sales</v>
      </c>
      <c r="N90" t="str">
        <f t="shared" si="22"/>
        <v>LOW SALES</v>
      </c>
      <c r="O90" t="str">
        <f t="shared" si="23"/>
        <v>NO BONUS</v>
      </c>
      <c r="P90" s="1">
        <f t="shared" si="24"/>
        <v>2026</v>
      </c>
      <c r="Q90" s="1">
        <f t="shared" si="25"/>
        <v>1</v>
      </c>
      <c r="R90" s="1" t="str">
        <f t="shared" si="26"/>
        <v>January</v>
      </c>
      <c r="S90" s="1" t="str">
        <f t="shared" si="27"/>
        <v>Q1</v>
      </c>
      <c r="T90" s="1" t="str">
        <f t="shared" si="28"/>
        <v>Sunday</v>
      </c>
      <c r="U90" s="1">
        <f t="shared" si="29"/>
        <v>4</v>
      </c>
    </row>
    <row r="91" spans="1:21" x14ac:dyDescent="0.25">
      <c r="A91">
        <v>1028</v>
      </c>
      <c r="B91" s="9">
        <v>46185</v>
      </c>
      <c r="C91" t="s">
        <v>36</v>
      </c>
      <c r="D91" t="s">
        <v>33</v>
      </c>
      <c r="E91" t="s">
        <v>40</v>
      </c>
      <c r="F91" t="s">
        <v>26</v>
      </c>
      <c r="G91">
        <v>2</v>
      </c>
      <c r="H91">
        <v>2500</v>
      </c>
      <c r="I91">
        <v>15</v>
      </c>
      <c r="J91" t="s">
        <v>37</v>
      </c>
      <c r="K91" t="s">
        <v>39</v>
      </c>
      <c r="L91">
        <f t="shared" si="20"/>
        <v>4250</v>
      </c>
      <c r="M91" t="str">
        <f t="shared" si="21"/>
        <v>low sales</v>
      </c>
      <c r="N91" t="str">
        <f t="shared" si="22"/>
        <v>LOW SALES</v>
      </c>
      <c r="O91" t="str">
        <f t="shared" si="23"/>
        <v>NO BONUS</v>
      </c>
      <c r="P91" s="1">
        <f t="shared" si="24"/>
        <v>2026</v>
      </c>
      <c r="Q91" s="1">
        <f t="shared" si="25"/>
        <v>6</v>
      </c>
      <c r="R91" s="1" t="str">
        <f t="shared" si="26"/>
        <v>June</v>
      </c>
      <c r="S91" s="1" t="str">
        <f t="shared" si="27"/>
        <v>Q2</v>
      </c>
      <c r="T91" s="1" t="str">
        <f t="shared" si="28"/>
        <v>Friday</v>
      </c>
      <c r="U91" s="1">
        <f t="shared" si="29"/>
        <v>24</v>
      </c>
    </row>
    <row r="92" spans="1:21" x14ac:dyDescent="0.25">
      <c r="A92">
        <v>1051</v>
      </c>
      <c r="B92" s="9">
        <v>46024</v>
      </c>
      <c r="C92" t="s">
        <v>36</v>
      </c>
      <c r="D92" t="s">
        <v>33</v>
      </c>
      <c r="E92" t="s">
        <v>40</v>
      </c>
      <c r="F92" t="s">
        <v>26</v>
      </c>
      <c r="G92">
        <v>10</v>
      </c>
      <c r="H92">
        <v>2500</v>
      </c>
      <c r="I92">
        <v>10</v>
      </c>
      <c r="J92" t="s">
        <v>37</v>
      </c>
      <c r="K92" t="s">
        <v>39</v>
      </c>
      <c r="L92">
        <f t="shared" si="20"/>
        <v>22500</v>
      </c>
      <c r="M92" t="str">
        <f t="shared" si="21"/>
        <v>high sales</v>
      </c>
      <c r="N92" t="str">
        <f t="shared" si="22"/>
        <v>good</v>
      </c>
      <c r="O92" t="str">
        <f t="shared" si="23"/>
        <v>NO BONUS</v>
      </c>
      <c r="P92" s="1">
        <f t="shared" si="24"/>
        <v>2026</v>
      </c>
      <c r="Q92" s="1">
        <f t="shared" si="25"/>
        <v>1</v>
      </c>
      <c r="R92" s="1" t="str">
        <f t="shared" si="26"/>
        <v>January</v>
      </c>
      <c r="S92" s="1" t="str">
        <f t="shared" si="27"/>
        <v>Q1</v>
      </c>
      <c r="T92" s="1" t="str">
        <f t="shared" si="28"/>
        <v>Friday</v>
      </c>
      <c r="U92" s="1">
        <f t="shared" si="29"/>
        <v>1</v>
      </c>
    </row>
    <row r="93" spans="1:21" x14ac:dyDescent="0.25">
      <c r="A93">
        <v>1069</v>
      </c>
      <c r="B93" s="9">
        <v>46118</v>
      </c>
      <c r="C93" t="s">
        <v>36</v>
      </c>
      <c r="D93" t="s">
        <v>33</v>
      </c>
      <c r="E93" t="s">
        <v>14</v>
      </c>
      <c r="F93" t="s">
        <v>15</v>
      </c>
      <c r="G93">
        <v>8</v>
      </c>
      <c r="H93">
        <v>12000</v>
      </c>
      <c r="I93">
        <v>5</v>
      </c>
      <c r="J93" t="s">
        <v>27</v>
      </c>
      <c r="K93" t="s">
        <v>17</v>
      </c>
      <c r="L93">
        <f t="shared" si="20"/>
        <v>91200</v>
      </c>
      <c r="M93" t="str">
        <f t="shared" si="21"/>
        <v>high sales</v>
      </c>
      <c r="N93" t="str">
        <f t="shared" si="22"/>
        <v>good</v>
      </c>
      <c r="O93" t="str">
        <f t="shared" si="23"/>
        <v>NO BONUS</v>
      </c>
      <c r="P93" s="1">
        <f t="shared" si="24"/>
        <v>2026</v>
      </c>
      <c r="Q93" s="1">
        <f t="shared" si="25"/>
        <v>4</v>
      </c>
      <c r="R93" s="1" t="str">
        <f t="shared" si="26"/>
        <v>April</v>
      </c>
      <c r="S93" s="1" t="str">
        <f t="shared" si="27"/>
        <v>Q2</v>
      </c>
      <c r="T93" s="1" t="str">
        <f t="shared" si="28"/>
        <v>Monday</v>
      </c>
      <c r="U93" s="1">
        <f t="shared" si="29"/>
        <v>15</v>
      </c>
    </row>
    <row r="94" spans="1:21" x14ac:dyDescent="0.25">
      <c r="A94">
        <v>1047</v>
      </c>
      <c r="B94" s="9">
        <v>46089</v>
      </c>
      <c r="C94" t="s">
        <v>44</v>
      </c>
      <c r="D94" t="s">
        <v>33</v>
      </c>
      <c r="E94" t="s">
        <v>34</v>
      </c>
      <c r="F94" t="s">
        <v>21</v>
      </c>
      <c r="G94">
        <v>5</v>
      </c>
      <c r="H94">
        <v>12000</v>
      </c>
      <c r="I94">
        <v>10</v>
      </c>
      <c r="J94" t="s">
        <v>37</v>
      </c>
      <c r="K94" t="s">
        <v>39</v>
      </c>
      <c r="L94">
        <f t="shared" si="20"/>
        <v>54000</v>
      </c>
      <c r="M94" t="str">
        <f t="shared" si="21"/>
        <v>high sales</v>
      </c>
      <c r="N94" t="str">
        <f t="shared" si="22"/>
        <v>good</v>
      </c>
      <c r="O94" t="str">
        <f t="shared" si="23"/>
        <v>NO BONUS</v>
      </c>
      <c r="P94" s="1">
        <f t="shared" si="24"/>
        <v>2026</v>
      </c>
      <c r="Q94" s="1">
        <f t="shared" si="25"/>
        <v>3</v>
      </c>
      <c r="R94" s="1" t="str">
        <f t="shared" si="26"/>
        <v>March</v>
      </c>
      <c r="S94" s="1" t="str">
        <f t="shared" si="27"/>
        <v>Q1</v>
      </c>
      <c r="T94" s="1" t="str">
        <f t="shared" si="28"/>
        <v>Sunday</v>
      </c>
      <c r="U94" s="1">
        <f t="shared" si="29"/>
        <v>11</v>
      </c>
    </row>
    <row r="95" spans="1:21" x14ac:dyDescent="0.25">
      <c r="A95">
        <v>1005</v>
      </c>
      <c r="B95" s="9">
        <v>46112</v>
      </c>
      <c r="C95" t="s">
        <v>32</v>
      </c>
      <c r="D95" t="s">
        <v>33</v>
      </c>
      <c r="E95" t="s">
        <v>34</v>
      </c>
      <c r="F95" t="s">
        <v>21</v>
      </c>
      <c r="G95">
        <v>1</v>
      </c>
      <c r="H95">
        <v>250</v>
      </c>
      <c r="I95">
        <v>20</v>
      </c>
      <c r="J95" t="s">
        <v>27</v>
      </c>
      <c r="K95" t="s">
        <v>28</v>
      </c>
      <c r="L95">
        <f t="shared" si="20"/>
        <v>200</v>
      </c>
      <c r="M95" t="str">
        <f t="shared" si="21"/>
        <v>low sales</v>
      </c>
      <c r="N95" t="str">
        <f t="shared" si="22"/>
        <v>LOW SALES</v>
      </c>
      <c r="O95" t="str">
        <f t="shared" si="23"/>
        <v>NO BONUS</v>
      </c>
      <c r="P95" s="1">
        <f t="shared" si="24"/>
        <v>2026</v>
      </c>
      <c r="Q95" s="1">
        <f t="shared" si="25"/>
        <v>3</v>
      </c>
      <c r="R95" s="1" t="str">
        <f t="shared" si="26"/>
        <v>March</v>
      </c>
      <c r="S95" s="1" t="str">
        <f t="shared" si="27"/>
        <v>Q1</v>
      </c>
      <c r="T95" s="1" t="str">
        <f t="shared" si="28"/>
        <v>Tuesday</v>
      </c>
      <c r="U95" s="1">
        <f t="shared" si="29"/>
        <v>14</v>
      </c>
    </row>
    <row r="96" spans="1:21" x14ac:dyDescent="0.25">
      <c r="A96">
        <v>1044</v>
      </c>
      <c r="B96" s="9">
        <v>46201</v>
      </c>
      <c r="C96" t="s">
        <v>32</v>
      </c>
      <c r="D96" t="s">
        <v>33</v>
      </c>
      <c r="E96" t="s">
        <v>42</v>
      </c>
      <c r="F96" t="s">
        <v>15</v>
      </c>
      <c r="G96">
        <v>10</v>
      </c>
      <c r="H96">
        <v>250</v>
      </c>
      <c r="I96">
        <v>10</v>
      </c>
      <c r="J96" t="s">
        <v>35</v>
      </c>
      <c r="K96" t="s">
        <v>39</v>
      </c>
      <c r="L96">
        <f t="shared" si="20"/>
        <v>2250</v>
      </c>
      <c r="M96" t="str">
        <f t="shared" si="21"/>
        <v>low sales</v>
      </c>
      <c r="N96" t="str">
        <f t="shared" si="22"/>
        <v>LOW SALES</v>
      </c>
      <c r="O96" t="str">
        <f t="shared" si="23"/>
        <v>NO BONUS</v>
      </c>
      <c r="P96" s="1">
        <f t="shared" si="24"/>
        <v>2026</v>
      </c>
      <c r="Q96" s="1">
        <f t="shared" si="25"/>
        <v>6</v>
      </c>
      <c r="R96" s="1" t="str">
        <f t="shared" si="26"/>
        <v>June</v>
      </c>
      <c r="S96" s="1" t="str">
        <f t="shared" si="27"/>
        <v>Q2</v>
      </c>
      <c r="T96" s="1" t="str">
        <f t="shared" si="28"/>
        <v>Sunday</v>
      </c>
      <c r="U96" s="1">
        <f t="shared" si="29"/>
        <v>27</v>
      </c>
    </row>
    <row r="97" spans="1:21" x14ac:dyDescent="0.25">
      <c r="A97">
        <v>1096</v>
      </c>
      <c r="B97" s="9">
        <v>46109</v>
      </c>
      <c r="C97" t="s">
        <v>32</v>
      </c>
      <c r="D97" t="s">
        <v>33</v>
      </c>
      <c r="E97" t="s">
        <v>40</v>
      </c>
      <c r="F97" t="s">
        <v>26</v>
      </c>
      <c r="G97">
        <v>2</v>
      </c>
      <c r="H97">
        <v>5000</v>
      </c>
      <c r="I97">
        <v>5</v>
      </c>
      <c r="J97" t="s">
        <v>16</v>
      </c>
      <c r="K97" t="s">
        <v>28</v>
      </c>
      <c r="L97">
        <f t="shared" si="20"/>
        <v>9500</v>
      </c>
      <c r="M97" t="str">
        <f t="shared" si="21"/>
        <v>low sales</v>
      </c>
      <c r="N97" t="str">
        <f t="shared" si="22"/>
        <v>average</v>
      </c>
      <c r="O97" t="str">
        <f t="shared" si="23"/>
        <v>NO BONUS</v>
      </c>
      <c r="P97" s="1">
        <f t="shared" si="24"/>
        <v>2026</v>
      </c>
      <c r="Q97" s="1">
        <f t="shared" si="25"/>
        <v>3</v>
      </c>
      <c r="R97" s="1" t="str">
        <f t="shared" si="26"/>
        <v>March</v>
      </c>
      <c r="S97" s="1" t="str">
        <f t="shared" si="27"/>
        <v>Q1</v>
      </c>
      <c r="T97" s="1" t="str">
        <f t="shared" si="28"/>
        <v>Saturday</v>
      </c>
      <c r="U97" s="1">
        <f t="shared" si="29"/>
        <v>13</v>
      </c>
    </row>
    <row r="98" spans="1:21" x14ac:dyDescent="0.25">
      <c r="A98">
        <v>1006</v>
      </c>
      <c r="B98" s="9">
        <v>46085</v>
      </c>
      <c r="C98" t="s">
        <v>32</v>
      </c>
      <c r="D98" t="s">
        <v>33</v>
      </c>
      <c r="E98" t="s">
        <v>20</v>
      </c>
      <c r="F98" t="s">
        <v>21</v>
      </c>
      <c r="G98">
        <v>2</v>
      </c>
      <c r="H98">
        <v>12000</v>
      </c>
      <c r="I98">
        <v>20</v>
      </c>
      <c r="J98" t="s">
        <v>35</v>
      </c>
      <c r="K98" t="s">
        <v>28</v>
      </c>
      <c r="L98">
        <f t="shared" si="20"/>
        <v>19200</v>
      </c>
      <c r="M98" t="str">
        <f>IF(L98&gt;=20000,"high sales","low sales")</f>
        <v>low sales</v>
      </c>
      <c r="N98" t="str">
        <f t="shared" si="22"/>
        <v>good</v>
      </c>
      <c r="O98" t="str">
        <f t="shared" si="23"/>
        <v>NO BONUS</v>
      </c>
      <c r="P98" s="1">
        <f t="shared" si="24"/>
        <v>2026</v>
      </c>
      <c r="Q98" s="1">
        <f t="shared" si="25"/>
        <v>3</v>
      </c>
      <c r="R98" s="1" t="str">
        <f t="shared" si="26"/>
        <v>March</v>
      </c>
      <c r="S98" s="1" t="str">
        <f t="shared" si="27"/>
        <v>Q1</v>
      </c>
      <c r="T98" s="1" t="str">
        <f t="shared" si="28"/>
        <v>Wednesday</v>
      </c>
      <c r="U98" s="1">
        <f t="shared" si="29"/>
        <v>10</v>
      </c>
    </row>
    <row r="99" spans="1:21" x14ac:dyDescent="0.25">
      <c r="A99">
        <v>1068</v>
      </c>
      <c r="B99" s="9">
        <v>46117</v>
      </c>
      <c r="C99" t="s">
        <v>32</v>
      </c>
      <c r="D99" t="s">
        <v>33</v>
      </c>
      <c r="E99" t="s">
        <v>40</v>
      </c>
      <c r="F99" t="s">
        <v>26</v>
      </c>
      <c r="G99">
        <v>3</v>
      </c>
      <c r="H99">
        <v>12000</v>
      </c>
      <c r="I99">
        <v>20</v>
      </c>
      <c r="J99" t="s">
        <v>35</v>
      </c>
      <c r="K99" t="s">
        <v>28</v>
      </c>
      <c r="L99">
        <f t="shared" si="20"/>
        <v>28800</v>
      </c>
      <c r="M99" t="str">
        <f>IF(L99&gt;=20000,"high sales","low sales")</f>
        <v>high sales</v>
      </c>
      <c r="N99" t="str">
        <f t="shared" si="22"/>
        <v>good</v>
      </c>
      <c r="O99" t="str">
        <f t="shared" si="23"/>
        <v>NO BONUS</v>
      </c>
      <c r="P99" s="1">
        <f t="shared" si="24"/>
        <v>2026</v>
      </c>
      <c r="Q99" s="1">
        <f t="shared" si="25"/>
        <v>4</v>
      </c>
      <c r="R99" s="1" t="str">
        <f t="shared" si="26"/>
        <v>April</v>
      </c>
      <c r="S99" s="1" t="str">
        <f t="shared" si="27"/>
        <v>Q2</v>
      </c>
      <c r="T99" s="1" t="str">
        <f t="shared" si="28"/>
        <v>Sunday</v>
      </c>
      <c r="U99" s="1">
        <f t="shared" si="29"/>
        <v>15</v>
      </c>
    </row>
    <row r="100" spans="1:21" x14ac:dyDescent="0.25">
      <c r="A100">
        <v>1092</v>
      </c>
      <c r="B100" s="9">
        <v>46189</v>
      </c>
      <c r="C100" t="s">
        <v>32</v>
      </c>
      <c r="D100" t="s">
        <v>33</v>
      </c>
      <c r="E100" t="s">
        <v>34</v>
      </c>
      <c r="F100" t="s">
        <v>21</v>
      </c>
      <c r="G100">
        <v>6</v>
      </c>
      <c r="H100">
        <v>12000</v>
      </c>
      <c r="I100">
        <v>10</v>
      </c>
      <c r="J100" t="s">
        <v>35</v>
      </c>
      <c r="K100" t="s">
        <v>28</v>
      </c>
      <c r="L100">
        <f t="shared" si="20"/>
        <v>64800</v>
      </c>
      <c r="M100" t="str">
        <f>IF(L100&gt;=20000,"high sales","low sales")</f>
        <v>high sales</v>
      </c>
      <c r="N100" t="str">
        <f t="shared" si="22"/>
        <v>good</v>
      </c>
      <c r="O100" t="str">
        <f t="shared" si="23"/>
        <v>NO BONUS</v>
      </c>
      <c r="P100" s="1">
        <f t="shared" si="24"/>
        <v>2026</v>
      </c>
      <c r="Q100" s="1">
        <f t="shared" si="25"/>
        <v>6</v>
      </c>
      <c r="R100" s="1" t="str">
        <f t="shared" si="26"/>
        <v>June</v>
      </c>
      <c r="S100" s="1" t="str">
        <f t="shared" si="27"/>
        <v>Q2</v>
      </c>
      <c r="T100" s="1" t="str">
        <f t="shared" si="28"/>
        <v>Tuesday</v>
      </c>
      <c r="U100" s="1">
        <f t="shared" si="29"/>
        <v>25</v>
      </c>
    </row>
    <row r="101" spans="1:21" x14ac:dyDescent="0.25">
      <c r="A101">
        <v>1049</v>
      </c>
      <c r="B101" s="9">
        <v>46106</v>
      </c>
      <c r="C101" t="s">
        <v>12</v>
      </c>
      <c r="D101" t="s">
        <v>33</v>
      </c>
      <c r="E101" t="s">
        <v>25</v>
      </c>
      <c r="F101" t="s">
        <v>26</v>
      </c>
      <c r="G101">
        <v>8</v>
      </c>
      <c r="H101">
        <v>750</v>
      </c>
      <c r="I101">
        <v>15</v>
      </c>
      <c r="J101" t="s">
        <v>16</v>
      </c>
      <c r="K101" t="s">
        <v>17</v>
      </c>
      <c r="L101">
        <f t="shared" si="20"/>
        <v>5100</v>
      </c>
      <c r="M101" t="str">
        <f>IF(L101&gt;=20000,"high sales","low sales")</f>
        <v>low sales</v>
      </c>
      <c r="N101" t="str">
        <f t="shared" si="22"/>
        <v>LOW SALES</v>
      </c>
      <c r="O101" t="str">
        <f t="shared" si="23"/>
        <v>NO BONUS</v>
      </c>
      <c r="P101" s="1">
        <f t="shared" si="24"/>
        <v>2026</v>
      </c>
      <c r="Q101" s="1">
        <f t="shared" si="25"/>
        <v>3</v>
      </c>
      <c r="R101" s="1" t="str">
        <f t="shared" si="26"/>
        <v>March</v>
      </c>
      <c r="S101" s="1" t="str">
        <f t="shared" si="27"/>
        <v>Q1</v>
      </c>
      <c r="T101" s="1" t="str">
        <f t="shared" si="28"/>
        <v>Wednesday</v>
      </c>
      <c r="U101" s="1">
        <f t="shared" si="29"/>
        <v>13</v>
      </c>
    </row>
  </sheetData>
  <conditionalFormatting sqref="A1">
    <cfRule type="duplicateValues" dxfId="11" priority="1"/>
    <cfRule type="duplicateValues" dxfId="10" priority="2"/>
  </conditionalFormatting>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3"/>
  <sheetViews>
    <sheetView workbookViewId="0">
      <selection activeCell="G16" sqref="G16"/>
    </sheetView>
  </sheetViews>
  <sheetFormatPr defaultRowHeight="15" x14ac:dyDescent="0.25"/>
  <cols>
    <col min="1" max="1" width="21.85546875" bestFit="1" customWidth="1"/>
    <col min="2" max="2" width="27.85546875" bestFit="1" customWidth="1"/>
    <col min="4" max="4" width="16.85546875" bestFit="1" customWidth="1"/>
    <col min="5" max="5" width="11.28515625" bestFit="1" customWidth="1"/>
  </cols>
  <sheetData>
    <row r="1" spans="1:5" ht="15.75" thickBot="1" x14ac:dyDescent="0.3">
      <c r="A1" s="3" t="s">
        <v>51</v>
      </c>
      <c r="B1" s="4" t="s">
        <v>49</v>
      </c>
      <c r="D1" t="s">
        <v>68</v>
      </c>
      <c r="E1">
        <f>COUNTA('Raw_data '!A2:A101)</f>
        <v>100</v>
      </c>
    </row>
    <row r="2" spans="1:5" ht="15.75" thickBot="1" x14ac:dyDescent="0.3">
      <c r="A2" s="3" t="s">
        <v>52</v>
      </c>
      <c r="B2" s="4" t="s">
        <v>50</v>
      </c>
      <c r="D2" t="s">
        <v>69</v>
      </c>
      <c r="E2">
        <f>COLUMNS([1]Raw_data!A:O)</f>
        <v>15</v>
      </c>
    </row>
    <row r="3" spans="1:5" ht="15.75" thickBot="1" x14ac:dyDescent="0.3">
      <c r="A3" s="3" t="s">
        <v>53</v>
      </c>
      <c r="B3" s="5" t="s">
        <v>45</v>
      </c>
      <c r="D3" t="s">
        <v>70</v>
      </c>
      <c r="E3">
        <f>SUM('Raw_data '!L2:L101)</f>
        <v>1713800</v>
      </c>
    </row>
    <row r="4" spans="1:5" ht="15.75" thickBot="1" x14ac:dyDescent="0.3">
      <c r="A4" s="3" t="s">
        <v>54</v>
      </c>
      <c r="B4" s="5">
        <v>1</v>
      </c>
      <c r="D4" t="s">
        <v>71</v>
      </c>
      <c r="E4">
        <f>COUNTA('Raw_data '!A:A)-1</f>
        <v>100</v>
      </c>
    </row>
    <row r="5" spans="1:5" ht="15.75" thickBot="1" x14ac:dyDescent="0.3">
      <c r="A5" s="3" t="s">
        <v>56</v>
      </c>
      <c r="B5" s="6">
        <v>46273</v>
      </c>
      <c r="D5" t="s">
        <v>72</v>
      </c>
      <c r="E5">
        <v>10</v>
      </c>
    </row>
    <row r="6" spans="1:5" ht="15.75" thickBot="1" x14ac:dyDescent="0.3">
      <c r="A6" s="3" t="s">
        <v>55</v>
      </c>
      <c r="B6" s="4" t="s">
        <v>57</v>
      </c>
      <c r="D6" t="s">
        <v>73</v>
      </c>
      <c r="E6">
        <v>5</v>
      </c>
    </row>
    <row r="9" spans="1:5" x14ac:dyDescent="0.25">
      <c r="A9" s="7" t="s">
        <v>58</v>
      </c>
      <c r="B9" s="2" t="s">
        <v>47</v>
      </c>
      <c r="D9" s="2" t="s">
        <v>75</v>
      </c>
      <c r="E9" s="2" t="s">
        <v>76</v>
      </c>
    </row>
    <row r="10" spans="1:5" x14ac:dyDescent="0.25">
      <c r="A10" t="s">
        <v>59</v>
      </c>
      <c r="B10" s="8" t="s">
        <v>74</v>
      </c>
      <c r="D10" t="s">
        <v>77</v>
      </c>
      <c r="E10" s="8">
        <f>COUNTBLANK('Raw_data '!C2:C101)</f>
        <v>0</v>
      </c>
    </row>
    <row r="11" spans="1:5" x14ac:dyDescent="0.25">
      <c r="A11" t="s">
        <v>60</v>
      </c>
      <c r="B11" s="8" t="s">
        <v>74</v>
      </c>
      <c r="D11" t="s">
        <v>78</v>
      </c>
      <c r="E11" s="8">
        <f>COUNTBLANK('Raw_data '!B2:B101)</f>
        <v>0</v>
      </c>
    </row>
    <row r="12" spans="1:5" x14ac:dyDescent="0.25">
      <c r="A12" t="s">
        <v>61</v>
      </c>
      <c r="B12" s="8" t="s">
        <v>74</v>
      </c>
      <c r="D12" t="s">
        <v>79</v>
      </c>
      <c r="E12" s="8">
        <f>COUNTBLANK('Raw_data '!C2:C101)</f>
        <v>0</v>
      </c>
    </row>
    <row r="13" spans="1:5" x14ac:dyDescent="0.25">
      <c r="A13" t="s">
        <v>62</v>
      </c>
      <c r="B13" s="8" t="s">
        <v>74</v>
      </c>
      <c r="D13" t="s">
        <v>80</v>
      </c>
      <c r="E13" s="8">
        <f>COUNTBLANK('Raw_data '!D2:D101)</f>
        <v>0</v>
      </c>
    </row>
    <row r="14" spans="1:5" x14ac:dyDescent="0.25">
      <c r="A14" t="s">
        <v>63</v>
      </c>
      <c r="B14" s="8" t="s">
        <v>74</v>
      </c>
      <c r="D14" t="s">
        <v>81</v>
      </c>
      <c r="E14" s="8">
        <f>COUNTBLANK('Raw_data '!E2:E101)</f>
        <v>0</v>
      </c>
    </row>
    <row r="15" spans="1:5" x14ac:dyDescent="0.25">
      <c r="A15" t="s">
        <v>64</v>
      </c>
      <c r="B15" s="8" t="s">
        <v>74</v>
      </c>
      <c r="D15" t="s">
        <v>82</v>
      </c>
      <c r="E15" s="8">
        <f>COUNTBLANK('Raw_data '!F2:F101)</f>
        <v>0</v>
      </c>
    </row>
    <row r="16" spans="1:5" x14ac:dyDescent="0.25">
      <c r="A16" t="s">
        <v>65</v>
      </c>
      <c r="B16" s="8" t="s">
        <v>74</v>
      </c>
      <c r="D16" t="s">
        <v>83</v>
      </c>
      <c r="E16" s="8">
        <f>COUNTBLANK('Raw_data '!G2:G101)</f>
        <v>0</v>
      </c>
    </row>
    <row r="17" spans="1:5" x14ac:dyDescent="0.25">
      <c r="A17" t="s">
        <v>66</v>
      </c>
      <c r="B17" s="8" t="s">
        <v>74</v>
      </c>
      <c r="D17" t="s">
        <v>84</v>
      </c>
      <c r="E17" s="8">
        <f>COUNTBLANK('Raw_data '!H2:H101)</f>
        <v>0</v>
      </c>
    </row>
    <row r="18" spans="1:5" x14ac:dyDescent="0.25">
      <c r="A18" t="s">
        <v>67</v>
      </c>
      <c r="B18" s="8" t="str">
        <f>IF(AND(B10="pass",B11="pass",B12="pass",B13="pass",B14="pass",B15="pass",B16="pass"),"PASS","FAIL")</f>
        <v>PASS</v>
      </c>
      <c r="D18" t="s">
        <v>85</v>
      </c>
      <c r="E18" s="8">
        <f>COUNTBLANK('Raw_data '!I2:I101)</f>
        <v>0</v>
      </c>
    </row>
    <row r="19" spans="1:5" x14ac:dyDescent="0.25">
      <c r="D19" t="s">
        <v>86</v>
      </c>
      <c r="E19" s="8">
        <f>COUNTBLANK('Raw_data '!J2:J101)</f>
        <v>0</v>
      </c>
    </row>
    <row r="20" spans="1:5" x14ac:dyDescent="0.25">
      <c r="D20" t="s">
        <v>87</v>
      </c>
      <c r="E20" s="8">
        <f>COUNTBLANK('Raw_data '!K2:K101)</f>
        <v>0</v>
      </c>
    </row>
    <row r="21" spans="1:5" x14ac:dyDescent="0.25">
      <c r="D21" t="s">
        <v>88</v>
      </c>
      <c r="E21" s="8">
        <f>COUNTBLANK('Raw_data '!L2:L101)</f>
        <v>0</v>
      </c>
    </row>
    <row r="23" spans="1:5" x14ac:dyDescent="0.25">
      <c r="A23" t="s">
        <v>95</v>
      </c>
      <c r="B23" t="str">
        <f>IF(B18="PASS","YES","NO")</f>
        <v>YES</v>
      </c>
    </row>
  </sheetData>
  <pageMargins left="0.7" right="0.7" top="0.75" bottom="0.75" header="0.3" footer="0.3"/>
  <pageSetup orientation="portrait" r:id="rId1"/>
  <ignoredErrors>
    <ignoredError sqref="E11" formula="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9"/>
  <sheetViews>
    <sheetView topLeftCell="A22" workbookViewId="0">
      <selection activeCell="A32" sqref="A32"/>
    </sheetView>
  </sheetViews>
  <sheetFormatPr defaultRowHeight="15" x14ac:dyDescent="0.25"/>
  <cols>
    <col min="1" max="1" width="17.85546875" customWidth="1"/>
    <col min="2" max="2" width="15.42578125" customWidth="1"/>
    <col min="3" max="3" width="17.28515625" bestFit="1" customWidth="1"/>
    <col min="4" max="4" width="17.85546875" customWidth="1"/>
    <col min="5" max="5" width="17.28515625" customWidth="1"/>
    <col min="6" max="6" width="7" customWidth="1"/>
    <col min="7" max="7" width="11.7109375" customWidth="1"/>
    <col min="8" max="8" width="15.42578125" bestFit="1" customWidth="1"/>
    <col min="9" max="9" width="11.28515625" customWidth="1"/>
    <col min="10" max="10" width="13.140625" customWidth="1"/>
    <col min="11" max="11" width="17.85546875" customWidth="1"/>
    <col min="12" max="16" width="5" customWidth="1"/>
    <col min="17" max="17" width="7" customWidth="1"/>
    <col min="18" max="32" width="5" customWidth="1"/>
    <col min="33" max="33" width="7" customWidth="1"/>
    <col min="34" max="49" width="5" customWidth="1"/>
    <col min="50" max="77" width="6" customWidth="1"/>
    <col min="78" max="79" width="7" customWidth="1"/>
    <col min="80" max="80" width="11.28515625" bestFit="1" customWidth="1"/>
  </cols>
  <sheetData>
    <row r="1" spans="1:11" ht="21" x14ac:dyDescent="0.35">
      <c r="A1" s="10" t="s">
        <v>96</v>
      </c>
    </row>
    <row r="2" spans="1:11" x14ac:dyDescent="0.25">
      <c r="H2" s="16" t="s">
        <v>121</v>
      </c>
      <c r="I2" s="16"/>
    </row>
    <row r="3" spans="1:11" ht="15.75" x14ac:dyDescent="0.25">
      <c r="A3" s="17" t="s">
        <v>108</v>
      </c>
      <c r="B3" s="17"/>
      <c r="C3" s="17"/>
      <c r="D3" s="17"/>
      <c r="H3" t="s">
        <v>118</v>
      </c>
      <c r="I3">
        <f>COUNTA(A11:A13)</f>
        <v>3</v>
      </c>
    </row>
    <row r="4" spans="1:11" x14ac:dyDescent="0.25">
      <c r="A4" t="s">
        <v>99</v>
      </c>
      <c r="B4" t="s">
        <v>97</v>
      </c>
      <c r="C4" t="s">
        <v>105</v>
      </c>
      <c r="D4" t="s">
        <v>98</v>
      </c>
    </row>
    <row r="5" spans="1:11" x14ac:dyDescent="0.25">
      <c r="A5" s="1">
        <v>1713800</v>
      </c>
      <c r="B5" s="1">
        <v>586</v>
      </c>
      <c r="C5" s="1">
        <v>100</v>
      </c>
      <c r="D5" s="1">
        <v>100</v>
      </c>
    </row>
    <row r="9" spans="1:11" ht="15.75" x14ac:dyDescent="0.25">
      <c r="A9" s="17" t="s">
        <v>109</v>
      </c>
      <c r="B9" s="17"/>
      <c r="D9" s="17" t="s">
        <v>112</v>
      </c>
      <c r="E9" s="17"/>
    </row>
    <row r="10" spans="1:11" x14ac:dyDescent="0.25">
      <c r="A10" s="11" t="s">
        <v>107</v>
      </c>
      <c r="B10" t="s">
        <v>99</v>
      </c>
      <c r="D10" s="11" t="s">
        <v>107</v>
      </c>
      <c r="E10" t="s">
        <v>99</v>
      </c>
      <c r="J10" s="11" t="s">
        <v>107</v>
      </c>
      <c r="K10" t="s">
        <v>98</v>
      </c>
    </row>
    <row r="11" spans="1:11" x14ac:dyDescent="0.25">
      <c r="A11" s="12" t="s">
        <v>26</v>
      </c>
      <c r="B11" s="1">
        <v>339725</v>
      </c>
      <c r="D11" s="12" t="s">
        <v>28</v>
      </c>
      <c r="E11" s="1">
        <v>393400</v>
      </c>
      <c r="J11" s="12" t="s">
        <v>41</v>
      </c>
      <c r="K11" s="1">
        <v>6</v>
      </c>
    </row>
    <row r="12" spans="1:11" x14ac:dyDescent="0.25">
      <c r="A12" s="12" t="s">
        <v>21</v>
      </c>
      <c r="B12" s="1">
        <v>652562.5</v>
      </c>
      <c r="D12" s="12" t="s">
        <v>17</v>
      </c>
      <c r="E12" s="1">
        <v>516075</v>
      </c>
      <c r="J12" s="12" t="s">
        <v>45</v>
      </c>
      <c r="K12" s="1">
        <v>8</v>
      </c>
    </row>
    <row r="13" spans="1:11" x14ac:dyDescent="0.25">
      <c r="A13" s="12" t="s">
        <v>15</v>
      </c>
      <c r="B13" s="1">
        <v>721512.5</v>
      </c>
      <c r="D13" s="12" t="s">
        <v>39</v>
      </c>
      <c r="E13" s="1">
        <v>312987.5</v>
      </c>
      <c r="J13" s="12" t="s">
        <v>18</v>
      </c>
      <c r="K13" s="1">
        <v>9</v>
      </c>
    </row>
    <row r="14" spans="1:11" x14ac:dyDescent="0.25">
      <c r="A14" s="12" t="s">
        <v>106</v>
      </c>
      <c r="B14" s="1">
        <v>1713800</v>
      </c>
      <c r="D14" s="12" t="s">
        <v>31</v>
      </c>
      <c r="E14" s="1">
        <v>491337.5</v>
      </c>
      <c r="J14" s="12" t="s">
        <v>43</v>
      </c>
      <c r="K14" s="1">
        <v>12</v>
      </c>
    </row>
    <row r="15" spans="1:11" x14ac:dyDescent="0.25">
      <c r="D15" s="12" t="s">
        <v>106</v>
      </c>
      <c r="E15" s="1">
        <v>1713800</v>
      </c>
      <c r="J15" s="12" t="s">
        <v>36</v>
      </c>
      <c r="K15" s="1">
        <v>15</v>
      </c>
    </row>
    <row r="16" spans="1:11" x14ac:dyDescent="0.25">
      <c r="J16" s="12" t="s">
        <v>44</v>
      </c>
      <c r="K16" s="1">
        <v>9</v>
      </c>
    </row>
    <row r="17" spans="1:11" x14ac:dyDescent="0.25">
      <c r="J17" s="12" t="s">
        <v>32</v>
      </c>
      <c r="K17" s="1">
        <v>16</v>
      </c>
    </row>
    <row r="18" spans="1:11" ht="15.75" x14ac:dyDescent="0.25">
      <c r="A18" s="17" t="s">
        <v>110</v>
      </c>
      <c r="B18" s="17"/>
      <c r="D18" s="13" t="s">
        <v>113</v>
      </c>
      <c r="E18" s="14"/>
      <c r="J18" s="12" t="s">
        <v>29</v>
      </c>
      <c r="K18" s="1">
        <v>10</v>
      </c>
    </row>
    <row r="19" spans="1:11" x14ac:dyDescent="0.25">
      <c r="A19" s="11" t="s">
        <v>107</v>
      </c>
      <c r="B19" t="s">
        <v>99</v>
      </c>
      <c r="D19" s="11" t="s">
        <v>107</v>
      </c>
      <c r="E19" t="s">
        <v>99</v>
      </c>
      <c r="J19" s="12" t="s">
        <v>12</v>
      </c>
      <c r="K19" s="1">
        <v>9</v>
      </c>
    </row>
    <row r="20" spans="1:11" x14ac:dyDescent="0.25">
      <c r="A20" s="12" t="s">
        <v>24</v>
      </c>
      <c r="B20" s="1">
        <v>457462.5</v>
      </c>
      <c r="D20" s="12" t="s">
        <v>102</v>
      </c>
      <c r="E20" s="1">
        <v>275075</v>
      </c>
      <c r="J20" s="12" t="s">
        <v>23</v>
      </c>
      <c r="K20" s="1">
        <v>6</v>
      </c>
    </row>
    <row r="21" spans="1:11" x14ac:dyDescent="0.25">
      <c r="A21" s="12" t="s">
        <v>13</v>
      </c>
      <c r="B21" s="1">
        <v>237137.5</v>
      </c>
      <c r="D21" s="12" t="s">
        <v>122</v>
      </c>
      <c r="E21" s="1">
        <v>175312.5</v>
      </c>
      <c r="J21" s="12" t="s">
        <v>106</v>
      </c>
      <c r="K21" s="1">
        <v>100</v>
      </c>
    </row>
    <row r="22" spans="1:11" x14ac:dyDescent="0.25">
      <c r="A22" s="12" t="s">
        <v>38</v>
      </c>
      <c r="B22" s="1">
        <v>359712.5</v>
      </c>
      <c r="D22" s="12" t="s">
        <v>123</v>
      </c>
      <c r="E22" s="1">
        <v>238600</v>
      </c>
    </row>
    <row r="23" spans="1:11" x14ac:dyDescent="0.25">
      <c r="A23" s="12" t="s">
        <v>19</v>
      </c>
      <c r="B23" s="1">
        <v>304825</v>
      </c>
      <c r="D23" s="12" t="s">
        <v>126</v>
      </c>
      <c r="E23" s="1">
        <v>441750</v>
      </c>
    </row>
    <row r="24" spans="1:11" x14ac:dyDescent="0.25">
      <c r="A24" s="12" t="s">
        <v>33</v>
      </c>
      <c r="B24" s="1">
        <v>354662.5</v>
      </c>
      <c r="D24" s="12" t="s">
        <v>124</v>
      </c>
      <c r="E24" s="1">
        <v>276512.5</v>
      </c>
    </row>
    <row r="25" spans="1:11" x14ac:dyDescent="0.25">
      <c r="A25" s="12" t="s">
        <v>106</v>
      </c>
      <c r="B25" s="1">
        <v>1713800</v>
      </c>
      <c r="D25" s="12" t="s">
        <v>125</v>
      </c>
      <c r="E25" s="1">
        <v>306550</v>
      </c>
    </row>
    <row r="26" spans="1:11" x14ac:dyDescent="0.25">
      <c r="D26" s="12" t="s">
        <v>106</v>
      </c>
      <c r="E26" s="1">
        <v>1713800</v>
      </c>
    </row>
    <row r="28" spans="1:11" ht="15.75" x14ac:dyDescent="0.25">
      <c r="A28" s="17" t="s">
        <v>111</v>
      </c>
      <c r="B28" s="17"/>
      <c r="D28" s="17" t="s">
        <v>114</v>
      </c>
      <c r="E28" s="17"/>
    </row>
    <row r="29" spans="1:11" x14ac:dyDescent="0.25">
      <c r="A29" s="11" t="s">
        <v>107</v>
      </c>
      <c r="B29" t="s">
        <v>99</v>
      </c>
      <c r="D29" s="11" t="s">
        <v>107</v>
      </c>
      <c r="E29" t="s">
        <v>105</v>
      </c>
    </row>
    <row r="30" spans="1:11" x14ac:dyDescent="0.25">
      <c r="A30" s="12" t="s">
        <v>35</v>
      </c>
      <c r="B30" s="1">
        <v>308612.5</v>
      </c>
      <c r="D30" s="12" t="s">
        <v>103</v>
      </c>
      <c r="E30" s="1">
        <v>25</v>
      </c>
    </row>
    <row r="31" spans="1:11" x14ac:dyDescent="0.25">
      <c r="A31" s="12" t="s">
        <v>27</v>
      </c>
      <c r="B31" s="1">
        <v>223412.5</v>
      </c>
      <c r="D31" s="12" t="s">
        <v>100</v>
      </c>
      <c r="E31" s="1">
        <v>75</v>
      </c>
    </row>
    <row r="32" spans="1:11" x14ac:dyDescent="0.25">
      <c r="A32" s="12" t="s">
        <v>16</v>
      </c>
      <c r="B32" s="1">
        <v>443287.5</v>
      </c>
      <c r="D32" s="12" t="s">
        <v>106</v>
      </c>
      <c r="E32" s="1">
        <v>100</v>
      </c>
    </row>
    <row r="33" spans="1:5" x14ac:dyDescent="0.25">
      <c r="A33" s="12" t="s">
        <v>37</v>
      </c>
      <c r="B33" s="1">
        <v>380050</v>
      </c>
    </row>
    <row r="34" spans="1:5" x14ac:dyDescent="0.25">
      <c r="A34" s="12" t="s">
        <v>22</v>
      </c>
      <c r="B34" s="1">
        <v>358437.5</v>
      </c>
    </row>
    <row r="35" spans="1:5" ht="15.75" x14ac:dyDescent="0.25">
      <c r="A35" s="12" t="s">
        <v>106</v>
      </c>
      <c r="B35" s="1">
        <v>1713800</v>
      </c>
      <c r="D35" s="17" t="s">
        <v>48</v>
      </c>
      <c r="E35" s="17"/>
    </row>
    <row r="36" spans="1:5" x14ac:dyDescent="0.25">
      <c r="D36" s="11" t="s">
        <v>107</v>
      </c>
      <c r="E36" t="s">
        <v>105</v>
      </c>
    </row>
    <row r="37" spans="1:5" x14ac:dyDescent="0.25">
      <c r="D37" s="12" t="s">
        <v>104</v>
      </c>
      <c r="E37" s="1">
        <v>8</v>
      </c>
    </row>
    <row r="38" spans="1:5" x14ac:dyDescent="0.25">
      <c r="D38" s="12" t="s">
        <v>101</v>
      </c>
      <c r="E38" s="1">
        <v>92</v>
      </c>
    </row>
    <row r="39" spans="1:5" x14ac:dyDescent="0.25">
      <c r="D39" s="12" t="s">
        <v>106</v>
      </c>
      <c r="E39" s="1">
        <v>100</v>
      </c>
    </row>
  </sheetData>
  <mergeCells count="8">
    <mergeCell ref="H2:I2"/>
    <mergeCell ref="D35:E35"/>
    <mergeCell ref="A3:D3"/>
    <mergeCell ref="A9:B9"/>
    <mergeCell ref="A18:B18"/>
    <mergeCell ref="A28:B28"/>
    <mergeCell ref="D9:E9"/>
    <mergeCell ref="D28:E28"/>
  </mergeCells>
  <pageMargins left="0.7" right="0.7" top="0.75" bottom="0.75" header="0.3" footer="0.3"/>
  <pageSetup orientation="portrait" r:id="rId1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7"/>
  <sheetViews>
    <sheetView showGridLines="0" tabSelected="1" zoomScaleNormal="100" workbookViewId="0">
      <selection activeCell="Y48" sqref="Y48"/>
    </sheetView>
  </sheetViews>
  <sheetFormatPr defaultRowHeight="15" x14ac:dyDescent="0.25"/>
  <cols>
    <col min="1" max="1" width="12.7109375" customWidth="1"/>
  </cols>
  <sheetData>
    <row r="1" spans="1:23" ht="20.100000000000001" customHeight="1" x14ac:dyDescent="0.25">
      <c r="A1" s="18" t="s">
        <v>115</v>
      </c>
      <c r="B1" s="18"/>
      <c r="C1" s="18"/>
      <c r="D1" s="18"/>
      <c r="E1" s="18"/>
      <c r="F1" s="18"/>
      <c r="G1" s="18"/>
      <c r="H1" s="18"/>
      <c r="I1" s="18"/>
      <c r="J1" s="18"/>
      <c r="K1" s="18"/>
      <c r="L1" s="18"/>
      <c r="M1" s="18"/>
      <c r="N1" s="18"/>
      <c r="O1" s="18"/>
      <c r="P1" s="18"/>
      <c r="Q1" s="18"/>
      <c r="R1" s="18"/>
      <c r="S1" s="18"/>
      <c r="T1" s="18"/>
      <c r="U1" s="18"/>
      <c r="V1" s="18"/>
      <c r="W1" s="18"/>
    </row>
    <row r="2" spans="1:23" ht="15" customHeight="1" x14ac:dyDescent="0.25">
      <c r="A2" s="18"/>
      <c r="B2" s="18"/>
      <c r="C2" s="18"/>
      <c r="D2" s="18"/>
      <c r="E2" s="18"/>
      <c r="F2" s="18"/>
      <c r="G2" s="18"/>
      <c r="H2" s="18"/>
      <c r="I2" s="18"/>
      <c r="J2" s="18"/>
      <c r="K2" s="18"/>
      <c r="L2" s="18"/>
      <c r="M2" s="18"/>
      <c r="N2" s="18"/>
      <c r="O2" s="18"/>
      <c r="P2" s="18"/>
      <c r="Q2" s="18"/>
      <c r="R2" s="18"/>
      <c r="S2" s="18"/>
      <c r="T2" s="18"/>
      <c r="U2" s="18"/>
      <c r="V2" s="18"/>
      <c r="W2" s="18"/>
    </row>
    <row r="4" spans="1:23" ht="15" customHeight="1" x14ac:dyDescent="0.45">
      <c r="A4" s="21" t="s">
        <v>116</v>
      </c>
      <c r="B4" s="21"/>
      <c r="C4" s="21"/>
      <c r="D4" s="15"/>
      <c r="E4" s="19" t="s">
        <v>71</v>
      </c>
      <c r="F4" s="19"/>
      <c r="G4" s="19"/>
      <c r="I4" s="21" t="s">
        <v>120</v>
      </c>
      <c r="J4" s="21"/>
      <c r="K4" s="21"/>
      <c r="M4" s="19" t="s">
        <v>117</v>
      </c>
      <c r="N4" s="19"/>
      <c r="O4" s="19"/>
      <c r="Q4" s="20" t="s">
        <v>119</v>
      </c>
      <c r="R4" s="20"/>
      <c r="S4" s="20"/>
      <c r="U4" s="19" t="s">
        <v>118</v>
      </c>
      <c r="V4" s="19"/>
      <c r="W4" s="19"/>
    </row>
    <row r="5" spans="1:23" ht="15" customHeight="1" x14ac:dyDescent="0.45">
      <c r="A5" s="21"/>
      <c r="B5" s="21"/>
      <c r="C5" s="21"/>
      <c r="D5" s="15"/>
      <c r="E5" s="19"/>
      <c r="F5" s="19"/>
      <c r="G5" s="19"/>
      <c r="I5" s="21"/>
      <c r="J5" s="21"/>
      <c r="K5" s="21"/>
      <c r="M5" s="19"/>
      <c r="N5" s="19"/>
      <c r="O5" s="19"/>
      <c r="Q5" s="20"/>
      <c r="R5" s="20"/>
      <c r="S5" s="20"/>
      <c r="U5" s="19"/>
      <c r="V5" s="19"/>
      <c r="W5" s="19"/>
    </row>
    <row r="6" spans="1:23" ht="15" customHeight="1" x14ac:dyDescent="0.45">
      <c r="A6" s="21">
        <f>GETPIVOTDATA("Sum of Total_Sales",Analysis!$A$4)</f>
        <v>1713800</v>
      </c>
      <c r="B6" s="21"/>
      <c r="C6" s="21"/>
      <c r="D6" s="15"/>
      <c r="E6" s="19">
        <f>GETPIVOTDATA("Count of Order_ID",Analysis!$A$4)</f>
        <v>100</v>
      </c>
      <c r="F6" s="19"/>
      <c r="G6" s="19"/>
      <c r="I6" s="21">
        <f>'clean_data '!E5</f>
        <v>10</v>
      </c>
      <c r="J6" s="21"/>
      <c r="K6" s="21"/>
      <c r="M6" s="19">
        <f>GETPIVOTDATA("Sum of Quantity",Analysis!$A$4)</f>
        <v>586</v>
      </c>
      <c r="N6" s="19"/>
      <c r="O6" s="19"/>
      <c r="Q6" s="20">
        <f>'clean_data '!E6</f>
        <v>5</v>
      </c>
      <c r="R6" s="20"/>
      <c r="S6" s="20"/>
      <c r="U6" s="19">
        <f>Analysis!I3</f>
        <v>3</v>
      </c>
      <c r="V6" s="19"/>
      <c r="W6" s="19"/>
    </row>
    <row r="7" spans="1:23" ht="15" customHeight="1" x14ac:dyDescent="0.45">
      <c r="A7" s="21"/>
      <c r="B7" s="21"/>
      <c r="C7" s="21"/>
      <c r="D7" s="15"/>
      <c r="E7" s="19"/>
      <c r="F7" s="19"/>
      <c r="G7" s="19"/>
      <c r="I7" s="21"/>
      <c r="J7" s="21"/>
      <c r="K7" s="21"/>
      <c r="M7" s="19"/>
      <c r="N7" s="19"/>
      <c r="O7" s="19"/>
      <c r="Q7" s="20"/>
      <c r="R7" s="20"/>
      <c r="S7" s="20"/>
      <c r="U7" s="19"/>
      <c r="V7" s="19"/>
      <c r="W7" s="19"/>
    </row>
  </sheetData>
  <mergeCells count="13">
    <mergeCell ref="A1:W2"/>
    <mergeCell ref="M4:O5"/>
    <mergeCell ref="M6:O7"/>
    <mergeCell ref="Q4:S5"/>
    <mergeCell ref="Q6:S7"/>
    <mergeCell ref="U4:W5"/>
    <mergeCell ref="U6:W7"/>
    <mergeCell ref="A4:C5"/>
    <mergeCell ref="A6:C7"/>
    <mergeCell ref="E4:G5"/>
    <mergeCell ref="E6:G7"/>
    <mergeCell ref="I4:K5"/>
    <mergeCell ref="I6:K7"/>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Raw_data </vt:lpstr>
      <vt:lpstr>clean_data </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DELL</cp:lastModifiedBy>
  <dcterms:created xsi:type="dcterms:W3CDTF">2026-07-21T10:57:04Z</dcterms:created>
  <dcterms:modified xsi:type="dcterms:W3CDTF">2026-09-11T08:12:30Z</dcterms:modified>
</cp:coreProperties>
</file>